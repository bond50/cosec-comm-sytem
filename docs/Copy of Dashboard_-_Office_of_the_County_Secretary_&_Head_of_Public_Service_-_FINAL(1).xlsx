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930" activeTab="4"/>
  </bookViews>
  <sheets>
    <sheet name="Correspondences" sheetId="1" r:id="rId1"/>
    <sheet name="Documents Management" sheetId="27" r:id="rId2"/>
    <sheet name="Meetings &amp; Coordination" sheetId="28" r:id="rId3"/>
    <sheet name="Statistics" sheetId="29" r:id="rId4"/>
    <sheet name="Dashboard" sheetId="9" r:id="rId5"/>
    <sheet name="Docs Statistics" sheetId="40" r:id="rId6"/>
    <sheet name="Sheet13" sheetId="41" r:id="rId7"/>
  </sheets>
  <definedNames>
    <definedName name="_xlnm._FilterDatabase" localSheetId="0" hidden="1">Correspondences!$A$2:$M$32</definedName>
    <definedName name="_xlnm._FilterDatabase" localSheetId="4" hidden="1">Dashboard!$B$6:$K$6</definedName>
    <definedName name="_xlnm._FilterDatabase" localSheetId="1" hidden="1">'Documents Management'!$A$2:$J$32</definedName>
    <definedName name="_xlnm._FilterDatabase" localSheetId="2" hidden="1">'Meetings &amp; Coordination'!$A$2:$I$32</definedName>
    <definedName name="_xlnm.Print_Area" localSheetId="4">Dashboard!$A$1:$S$13</definedName>
    <definedName name="_xlnm.Print_Area" localSheetId="3">Statistics!$A$1:$X$22</definedName>
  </definedNames>
  <calcPr calcId="181029"/>
  <pivotCaches>
    <pivotCache cacheId="0" r:id="rId8"/>
    <pivotCache cacheId="1" r:id="rId9"/>
    <pivotCache cacheId="2" r:id="rId10"/>
    <pivotCache cacheId="3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" i="9" l="1"/>
  <c r="K18" i="1" l="1"/>
  <c r="F13" i="9" l="1"/>
  <c r="E13" i="9"/>
  <c r="D13" i="9"/>
  <c r="E9" i="27"/>
  <c r="C13" i="9"/>
  <c r="B13" i="9"/>
  <c r="B7" i="9"/>
  <c r="A13" i="9"/>
  <c r="Z5" i="9" s="1"/>
  <c r="A7" i="9"/>
  <c r="Y5" i="9" s="1"/>
  <c r="E7" i="27"/>
  <c r="E8" i="27" s="1"/>
  <c r="E3" i="27"/>
  <c r="E4" i="27" s="1"/>
  <c r="K13" i="9"/>
  <c r="J13" i="9"/>
  <c r="I13" i="9"/>
  <c r="H13" i="9"/>
  <c r="G13" i="9"/>
  <c r="AA5" i="9" s="1"/>
  <c r="I7" i="9"/>
  <c r="K7" i="9"/>
  <c r="J7" i="9"/>
  <c r="H7" i="9"/>
  <c r="G7" i="9"/>
  <c r="F7" i="9"/>
  <c r="E7" i="9"/>
  <c r="C7" i="9"/>
  <c r="C3" i="28" l="1"/>
  <c r="C4" i="28" s="1"/>
  <c r="C5" i="28" s="1"/>
  <c r="C6" i="28" s="1"/>
  <c r="C7" i="28" s="1"/>
  <c r="C8" i="28" s="1"/>
  <c r="C9" i="28" s="1"/>
  <c r="C10" i="28" s="1"/>
  <c r="C11" i="28" s="1"/>
  <c r="C12" i="28" s="1"/>
  <c r="C13" i="28" s="1"/>
  <c r="C14" i="28" s="1"/>
  <c r="C15" i="28" s="1"/>
  <c r="C16" i="28" s="1"/>
  <c r="C17" i="28" s="1"/>
  <c r="C18" i="28" s="1"/>
  <c r="C19" i="28" s="1"/>
  <c r="C20" i="28" s="1"/>
  <c r="C21" i="28" s="1"/>
  <c r="C22" i="28" s="1"/>
  <c r="C23" i="28" s="1"/>
  <c r="C24" i="28" s="1"/>
  <c r="C25" i="28" s="1"/>
  <c r="C26" i="28" s="1"/>
  <c r="C27" i="28" s="1"/>
  <c r="C28" i="28" s="1"/>
  <c r="C29" i="28" s="1"/>
  <c r="C30" i="28" s="1"/>
  <c r="C31" i="28" s="1"/>
  <c r="C32" i="28" s="1"/>
  <c r="C33" i="28" s="1"/>
  <c r="C34" i="28" s="1"/>
  <c r="C35" i="28" s="1"/>
  <c r="C36" i="28" s="1"/>
  <c r="C37" i="28" s="1"/>
  <c r="C38" i="28" s="1"/>
  <c r="C39" i="28" s="1"/>
  <c r="C40" i="28" s="1"/>
  <c r="C41" i="28" s="1"/>
  <c r="C42" i="28" s="1"/>
  <c r="C43" i="28" s="1"/>
  <c r="C44" i="28" s="1"/>
  <c r="C45" i="28" s="1"/>
  <c r="C46" i="28" s="1"/>
  <c r="C47" i="28" s="1"/>
  <c r="C48" i="28" s="1"/>
  <c r="C49" i="28" s="1"/>
  <c r="C50" i="28" s="1"/>
  <c r="C51" i="28" s="1"/>
  <c r="C52" i="28" s="1"/>
  <c r="C53" i="28" s="1"/>
  <c r="C54" i="28" s="1"/>
  <c r="C55" i="28" s="1"/>
  <c r="C56" i="28" s="1"/>
  <c r="C57" i="28" s="1"/>
  <c r="C58" i="28" s="1"/>
  <c r="C59" i="28" s="1"/>
  <c r="C60" i="28" s="1"/>
  <c r="C61" i="28" s="1"/>
  <c r="C62" i="28" s="1"/>
  <c r="C63" i="28" s="1"/>
  <c r="C64" i="28" s="1"/>
  <c r="C65" i="28" s="1"/>
  <c r="C66" i="28" s="1"/>
  <c r="C67" i="28" s="1"/>
  <c r="C68" i="28" s="1"/>
  <c r="C69" i="28" s="1"/>
  <c r="C70" i="28" s="1"/>
  <c r="C71" i="28" s="1"/>
  <c r="C72" i="28" s="1"/>
  <c r="C73" i="28" s="1"/>
  <c r="C74" i="28" s="1"/>
  <c r="C75" i="28" s="1"/>
  <c r="C76" i="28" s="1"/>
  <c r="C77" i="28" s="1"/>
  <c r="C78" i="28" s="1"/>
  <c r="C79" i="28" s="1"/>
  <c r="C80" i="28" s="1"/>
  <c r="C81" i="28" s="1"/>
  <c r="C82" i="28" s="1"/>
  <c r="C83" i="28" s="1"/>
  <c r="C84" i="28" s="1"/>
  <c r="C85" i="28" s="1"/>
  <c r="C86" i="28" s="1"/>
  <c r="C87" i="28" s="1"/>
  <c r="C88" i="28" s="1"/>
  <c r="C89" i="28" s="1"/>
  <c r="C90" i="28" s="1"/>
  <c r="C91" i="28" s="1"/>
  <c r="C92" i="28" s="1"/>
  <c r="C93" i="28" s="1"/>
  <c r="C94" i="28" s="1"/>
  <c r="C95" i="28" s="1"/>
  <c r="C96" i="28" s="1"/>
  <c r="C97" i="28" s="1"/>
  <c r="C98" i="28" s="1"/>
  <c r="C99" i="28" s="1"/>
  <c r="C100" i="28" s="1"/>
  <c r="C101" i="28" s="1"/>
  <c r="C102" i="28" s="1"/>
  <c r="C103" i="28" s="1"/>
  <c r="C104" i="28" s="1"/>
  <c r="C105" i="28" s="1"/>
  <c r="C106" i="28" s="1"/>
  <c r="C107" i="28" s="1"/>
  <c r="C108" i="28" s="1"/>
  <c r="C109" i="28" s="1"/>
  <c r="C110" i="28" s="1"/>
  <c r="C111" i="28" s="1"/>
  <c r="C112" i="28" s="1"/>
  <c r="C113" i="28" s="1"/>
  <c r="C114" i="28" s="1"/>
  <c r="C115" i="28" s="1"/>
  <c r="C116" i="28" s="1"/>
  <c r="C117" i="28" s="1"/>
  <c r="C118" i="28" s="1"/>
  <c r="C119" i="28" s="1"/>
  <c r="C120" i="28" s="1"/>
  <c r="C121" i="28" s="1"/>
  <c r="C122" i="28" s="1"/>
  <c r="C123" i="28" s="1"/>
  <c r="C124" i="28" s="1"/>
  <c r="C125" i="28" s="1"/>
  <c r="C126" i="28" s="1"/>
  <c r="C127" i="28" s="1"/>
  <c r="C128" i="28" s="1"/>
  <c r="C129" i="28" s="1"/>
  <c r="C130" i="28" s="1"/>
  <c r="C131" i="28" s="1"/>
  <c r="C132" i="28" s="1"/>
  <c r="C133" i="28" s="1"/>
  <c r="C134" i="28" s="1"/>
  <c r="C135" i="28" s="1"/>
  <c r="C136" i="28" s="1"/>
  <c r="C137" i="28" s="1"/>
  <c r="C138" i="28" s="1"/>
  <c r="C139" i="28" s="1"/>
  <c r="C140" i="28" s="1"/>
  <c r="C141" i="28" s="1"/>
  <c r="C142" i="28" s="1"/>
  <c r="C143" i="28" s="1"/>
  <c r="C144" i="28" s="1"/>
  <c r="C145" i="28" s="1"/>
  <c r="C146" i="28" s="1"/>
  <c r="C147" i="28" s="1"/>
  <c r="C148" i="28" s="1"/>
  <c r="C149" i="28" s="1"/>
  <c r="C150" i="28" s="1"/>
  <c r="C151" i="28" s="1"/>
  <c r="C152" i="28" s="1"/>
  <c r="C153" i="28" s="1"/>
  <c r="C154" i="28" s="1"/>
  <c r="C155" i="28" s="1"/>
  <c r="C156" i="28" s="1"/>
  <c r="C157" i="28" s="1"/>
  <c r="C158" i="28" s="1"/>
  <c r="C159" i="28" s="1"/>
  <c r="C160" i="28" s="1"/>
  <c r="C161" i="28" s="1"/>
  <c r="C162" i="28" s="1"/>
  <c r="C163" i="28" s="1"/>
  <c r="C164" i="28" s="1"/>
  <c r="C165" i="28" s="1"/>
  <c r="C166" i="28" s="1"/>
  <c r="C167" i="28" s="1"/>
  <c r="C168" i="28" s="1"/>
  <c r="C169" i="28" s="1"/>
  <c r="C170" i="28" s="1"/>
  <c r="C171" i="28" s="1"/>
  <c r="C172" i="28" s="1"/>
  <c r="C173" i="28" s="1"/>
  <c r="C174" i="28" s="1"/>
  <c r="C175" i="28" s="1"/>
  <c r="C176" i="28" s="1"/>
  <c r="C177" i="28" s="1"/>
  <c r="C178" i="28" s="1"/>
  <c r="C179" i="28" s="1"/>
  <c r="C180" i="28" s="1"/>
  <c r="C181" i="28" s="1"/>
  <c r="C182" i="28" s="1"/>
  <c r="C183" i="28" s="1"/>
  <c r="C184" i="28" s="1"/>
  <c r="C185" i="28" s="1"/>
  <c r="C186" i="28" s="1"/>
  <c r="C187" i="28" s="1"/>
  <c r="C188" i="28" s="1"/>
  <c r="C189" i="28" s="1"/>
  <c r="C190" i="28" s="1"/>
  <c r="C191" i="28" s="1"/>
  <c r="C192" i="28" s="1"/>
  <c r="C193" i="28" s="1"/>
  <c r="C194" i="28" s="1"/>
  <c r="C195" i="28" s="1"/>
  <c r="C196" i="28" s="1"/>
  <c r="C197" i="28" s="1"/>
  <c r="C198" i="28" s="1"/>
  <c r="C199" i="28" s="1"/>
  <c r="C200" i="28" s="1"/>
  <c r="C201" i="28" s="1"/>
  <c r="C202" i="28" s="1"/>
  <c r="C203" i="28" s="1"/>
  <c r="C204" i="28" s="1"/>
  <c r="C205" i="28" s="1"/>
  <c r="C206" i="28" s="1"/>
  <c r="C207" i="28" s="1"/>
  <c r="C208" i="28" s="1"/>
  <c r="C209" i="28" s="1"/>
  <c r="C210" i="28" s="1"/>
  <c r="C211" i="28" s="1"/>
  <c r="C212" i="28" s="1"/>
  <c r="C213" i="28" s="1"/>
  <c r="C214" i="28" s="1"/>
  <c r="C215" i="28" s="1"/>
  <c r="C216" i="28" s="1"/>
  <c r="C217" i="28" s="1"/>
  <c r="C218" i="28" s="1"/>
  <c r="C219" i="28" s="1"/>
  <c r="C220" i="28" s="1"/>
  <c r="C221" i="28" s="1"/>
  <c r="C222" i="28" s="1"/>
  <c r="C223" i="28" s="1"/>
  <c r="C224" i="28" s="1"/>
  <c r="C225" i="28" s="1"/>
  <c r="C226" i="28" s="1"/>
  <c r="C227" i="28" s="1"/>
  <c r="C228" i="28" s="1"/>
  <c r="C229" i="28" s="1"/>
  <c r="C230" i="28" s="1"/>
  <c r="C231" i="28" s="1"/>
  <c r="C232" i="28" s="1"/>
  <c r="C233" i="28" s="1"/>
  <c r="C234" i="28" s="1"/>
  <c r="C235" i="28" s="1"/>
  <c r="C236" i="28" s="1"/>
  <c r="C237" i="28" s="1"/>
  <c r="C238" i="28" s="1"/>
  <c r="C239" i="28" s="1"/>
  <c r="C240" i="28" s="1"/>
  <c r="C241" i="28" s="1"/>
  <c r="C242" i="28" s="1"/>
  <c r="C243" i="28" s="1"/>
  <c r="C244" i="28" s="1"/>
  <c r="C245" i="28" s="1"/>
  <c r="C246" i="28" s="1"/>
  <c r="C247" i="28" s="1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3" i="28"/>
  <c r="D4" i="28"/>
  <c r="A3" i="27" l="1"/>
  <c r="A4" i="27" s="1"/>
  <c r="A5" i="27" s="1"/>
  <c r="A6" i="27" s="1"/>
  <c r="A7" i="27" s="1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A35" i="27" s="1"/>
  <c r="A36" i="27" s="1"/>
  <c r="A37" i="27" s="1"/>
  <c r="A38" i="27" s="1"/>
  <c r="A39" i="27" s="1"/>
  <c r="A40" i="27" s="1"/>
  <c r="A41" i="27" s="1"/>
  <c r="A42" i="27" s="1"/>
  <c r="A43" i="27" s="1"/>
  <c r="A44" i="27" s="1"/>
  <c r="A45" i="27" s="1"/>
  <c r="A46" i="27" s="1"/>
  <c r="A47" i="27" s="1"/>
  <c r="A48" i="27" s="1"/>
  <c r="A49" i="27" s="1"/>
  <c r="A50" i="27" s="1"/>
  <c r="A51" i="27" s="1"/>
  <c r="A52" i="27" s="1"/>
  <c r="A53" i="27" s="1"/>
  <c r="A54" i="27" s="1"/>
  <c r="A55" i="27" s="1"/>
  <c r="A56" i="27" s="1"/>
  <c r="A57" i="27" s="1"/>
  <c r="A58" i="27" s="1"/>
  <c r="A59" i="27" s="1"/>
  <c r="A60" i="27" s="1"/>
  <c r="A61" i="27" s="1"/>
  <c r="A62" i="27" s="1"/>
  <c r="A63" i="27" s="1"/>
  <c r="A64" i="27" s="1"/>
  <c r="A65" i="27" s="1"/>
  <c r="A66" i="27" s="1"/>
  <c r="A67" i="27" s="1"/>
  <c r="A68" i="27" s="1"/>
  <c r="A69" i="27" s="1"/>
  <c r="A70" i="27" s="1"/>
  <c r="A71" i="27" s="1"/>
  <c r="A72" i="27" s="1"/>
  <c r="A73" i="27" s="1"/>
  <c r="A74" i="27" s="1"/>
  <c r="A75" i="27" s="1"/>
  <c r="A76" i="27" s="1"/>
  <c r="A77" i="27" s="1"/>
  <c r="A78" i="27" s="1"/>
  <c r="A79" i="27" s="1"/>
  <c r="A80" i="27" s="1"/>
  <c r="A81" i="27" s="1"/>
  <c r="A82" i="27" s="1"/>
  <c r="A83" i="27" s="1"/>
  <c r="A84" i="27" s="1"/>
  <c r="A85" i="27" s="1"/>
  <c r="A86" i="27" s="1"/>
  <c r="A87" i="27" s="1"/>
  <c r="A88" i="27" s="1"/>
  <c r="A89" i="27" s="1"/>
  <c r="A90" i="27" s="1"/>
  <c r="A91" i="27" s="1"/>
  <c r="A92" i="27" s="1"/>
  <c r="A93" i="27" s="1"/>
  <c r="A94" i="27" s="1"/>
  <c r="A95" i="27" s="1"/>
  <c r="A96" i="27" s="1"/>
  <c r="A97" i="27" s="1"/>
  <c r="A98" i="27" s="1"/>
  <c r="A99" i="27" s="1"/>
  <c r="A100" i="27" s="1"/>
  <c r="A101" i="27" s="1"/>
  <c r="A102" i="27" s="1"/>
  <c r="A103" i="27" s="1"/>
  <c r="A104" i="27" s="1"/>
  <c r="A105" i="27" s="1"/>
  <c r="A106" i="27" s="1"/>
  <c r="A107" i="27" s="1"/>
  <c r="A108" i="27" s="1"/>
  <c r="A109" i="27" s="1"/>
  <c r="A110" i="27" s="1"/>
  <c r="A111" i="27" s="1"/>
  <c r="A112" i="27" s="1"/>
  <c r="A113" i="27" s="1"/>
  <c r="A114" i="27" s="1"/>
  <c r="A115" i="27" s="1"/>
  <c r="A116" i="27" s="1"/>
  <c r="A117" i="27" s="1"/>
  <c r="A118" i="27" s="1"/>
  <c r="A119" i="27" s="1"/>
  <c r="A120" i="27" s="1"/>
  <c r="A121" i="27" s="1"/>
  <c r="A122" i="27" s="1"/>
  <c r="A123" i="27" s="1"/>
  <c r="A124" i="27" s="1"/>
  <c r="A125" i="27" s="1"/>
  <c r="A126" i="27" s="1"/>
  <c r="A127" i="27" s="1"/>
  <c r="A128" i="27" s="1"/>
  <c r="A129" i="27" s="1"/>
  <c r="A130" i="27" s="1"/>
  <c r="A131" i="27" s="1"/>
  <c r="A132" i="27" s="1"/>
  <c r="A133" i="27" s="1"/>
  <c r="A134" i="27" s="1"/>
  <c r="A135" i="27" s="1"/>
  <c r="A136" i="27" s="1"/>
  <c r="A137" i="27" s="1"/>
  <c r="A138" i="27" s="1"/>
  <c r="A139" i="27" s="1"/>
  <c r="A140" i="27" s="1"/>
  <c r="A141" i="27" s="1"/>
  <c r="A142" i="27" s="1"/>
  <c r="A143" i="27" s="1"/>
  <c r="A144" i="27" s="1"/>
  <c r="A145" i="27" s="1"/>
  <c r="A146" i="27" s="1"/>
  <c r="A147" i="27" s="1"/>
  <c r="A148" i="27" s="1"/>
  <c r="A149" i="27" s="1"/>
  <c r="A150" i="27" s="1"/>
  <c r="A151" i="27" s="1"/>
  <c r="A152" i="27" s="1"/>
  <c r="A153" i="27" s="1"/>
  <c r="A154" i="27" s="1"/>
  <c r="A155" i="27" s="1"/>
  <c r="A156" i="27" s="1"/>
  <c r="A157" i="27" s="1"/>
  <c r="A158" i="27" s="1"/>
  <c r="A159" i="27" s="1"/>
  <c r="A160" i="27" s="1"/>
  <c r="A161" i="27" s="1"/>
  <c r="A162" i="27" s="1"/>
  <c r="A163" i="27" s="1"/>
  <c r="A164" i="27" s="1"/>
  <c r="A165" i="27" s="1"/>
  <c r="A166" i="27" s="1"/>
  <c r="A167" i="27" s="1"/>
  <c r="A168" i="27" s="1"/>
  <c r="A169" i="27" s="1"/>
  <c r="A170" i="27" s="1"/>
  <c r="A171" i="27" s="1"/>
  <c r="A172" i="27" s="1"/>
  <c r="A173" i="27" s="1"/>
  <c r="A174" i="27" s="1"/>
  <c r="A175" i="27" s="1"/>
  <c r="A176" i="27" s="1"/>
  <c r="A177" i="27" s="1"/>
  <c r="A178" i="27" s="1"/>
  <c r="A179" i="27" s="1"/>
  <c r="A180" i="27" s="1"/>
  <c r="A181" i="27" s="1"/>
  <c r="A182" i="27" s="1"/>
  <c r="A183" i="27" s="1"/>
  <c r="A184" i="27" s="1"/>
  <c r="A185" i="27" s="1"/>
  <c r="A186" i="27" s="1"/>
  <c r="A187" i="27" s="1"/>
  <c r="A188" i="27" s="1"/>
  <c r="A189" i="27" s="1"/>
  <c r="A190" i="27" s="1"/>
  <c r="A191" i="27" s="1"/>
  <c r="A192" i="27" s="1"/>
  <c r="A193" i="27" s="1"/>
  <c r="A194" i="27" s="1"/>
  <c r="A195" i="27" s="1"/>
  <c r="A196" i="27" s="1"/>
  <c r="A197" i="27" s="1"/>
  <c r="A198" i="27" s="1"/>
  <c r="A199" i="27" s="1"/>
  <c r="A200" i="27" s="1"/>
  <c r="A201" i="27" s="1"/>
  <c r="A202" i="27" s="1"/>
  <c r="A203" i="27" s="1"/>
  <c r="A204" i="27" s="1"/>
  <c r="A205" i="27" s="1"/>
  <c r="A206" i="27" s="1"/>
  <c r="A207" i="27" s="1"/>
  <c r="A208" i="27" s="1"/>
  <c r="A209" i="27" s="1"/>
  <c r="A210" i="27" s="1"/>
  <c r="A211" i="27" s="1"/>
  <c r="A212" i="27" s="1"/>
  <c r="A213" i="27" s="1"/>
  <c r="A214" i="27" s="1"/>
  <c r="A215" i="27" s="1"/>
  <c r="A216" i="27" s="1"/>
  <c r="A217" i="27" s="1"/>
  <c r="A218" i="27" s="1"/>
  <c r="A219" i="27" s="1"/>
  <c r="A220" i="27" s="1"/>
  <c r="A221" i="27" s="1"/>
  <c r="A222" i="27" s="1"/>
  <c r="A223" i="27" s="1"/>
  <c r="A224" i="27" s="1"/>
  <c r="A225" i="27" s="1"/>
  <c r="A226" i="27" s="1"/>
  <c r="A227" i="27" s="1"/>
  <c r="A228" i="27" s="1"/>
  <c r="A229" i="27" s="1"/>
  <c r="A230" i="27" s="1"/>
  <c r="A231" i="27" s="1"/>
  <c r="A232" i="27" s="1"/>
  <c r="A233" i="27" s="1"/>
  <c r="A234" i="27" s="1"/>
  <c r="A235" i="27" s="1"/>
  <c r="A236" i="27" s="1"/>
  <c r="A237" i="27" s="1"/>
  <c r="A238" i="27" s="1"/>
  <c r="A239" i="27" s="1"/>
  <c r="A240" i="27" s="1"/>
  <c r="A241" i="27" s="1"/>
  <c r="A242" i="27" s="1"/>
  <c r="A243" i="27" s="1"/>
  <c r="A244" i="27" s="1"/>
  <c r="A245" i="27" s="1"/>
  <c r="A246" i="27" s="1"/>
  <c r="A247" i="27" s="1"/>
  <c r="K17" i="1"/>
  <c r="K8" i="1"/>
  <c r="K9" i="1" s="1"/>
  <c r="K3" i="1"/>
  <c r="K4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</calcChain>
</file>

<file path=xl/sharedStrings.xml><?xml version="1.0" encoding="utf-8"?>
<sst xmlns="http://schemas.openxmlformats.org/spreadsheetml/2006/main" count="254" uniqueCount="126">
  <si>
    <t>SUBJECT</t>
  </si>
  <si>
    <t>SENDER</t>
  </si>
  <si>
    <t>RECIPIENT</t>
  </si>
  <si>
    <t>PRIORITY LEVEL 
(High/Medium/Low)</t>
  </si>
  <si>
    <t>RESPONSE DATE</t>
  </si>
  <si>
    <t>DEPLOYMENT</t>
  </si>
  <si>
    <t>PSM&amp;ICT/01/28/5/2025</t>
  </si>
  <si>
    <t>CO PSM&amp;ICT</t>
  </si>
  <si>
    <t>CO T&amp;I</t>
  </si>
  <si>
    <t>High</t>
  </si>
  <si>
    <t>Director T&amp;I (Omutichi)</t>
  </si>
  <si>
    <t xml:space="preserve">In Progress </t>
  </si>
  <si>
    <t>COMPLAINT</t>
  </si>
  <si>
    <t>Pending</t>
  </si>
  <si>
    <t>Row Labels</t>
  </si>
  <si>
    <t>(blank)</t>
  </si>
  <si>
    <t>Grand Total</t>
  </si>
  <si>
    <t>TRANSFER</t>
  </si>
  <si>
    <t>LANDS/01/29/5/2025</t>
  </si>
  <si>
    <t>CECM LANDS</t>
  </si>
  <si>
    <t>CO COMMERCE</t>
  </si>
  <si>
    <t>Closed</t>
  </si>
  <si>
    <t>Letter</t>
  </si>
  <si>
    <t>In Progress</t>
  </si>
  <si>
    <t xml:space="preserve">COUNTY GOVERNMENT OF VIHIGA </t>
  </si>
  <si>
    <t>OFFICE OF THE COUNTY SECRETARY &amp; HEAD OF PUBLIC SERVICE</t>
  </si>
  <si>
    <t>Sum of Pending</t>
  </si>
  <si>
    <t>Sum of In Progress</t>
  </si>
  <si>
    <t>Sum of Closed</t>
  </si>
  <si>
    <t>Low</t>
  </si>
  <si>
    <t>Medium</t>
  </si>
  <si>
    <t>Email</t>
  </si>
  <si>
    <t>Phone</t>
  </si>
  <si>
    <t>AVERAGE RESPONSE TIME (DAY/S)</t>
  </si>
  <si>
    <t xml:space="preserve">Emails </t>
  </si>
  <si>
    <t>Letters</t>
  </si>
  <si>
    <t xml:space="preserve">Sum of Emails </t>
  </si>
  <si>
    <t>Sum of Phone</t>
  </si>
  <si>
    <t>Sum of Letters</t>
  </si>
  <si>
    <t>Average Response Time (Day/s)</t>
  </si>
  <si>
    <t>UNIQUE IDENTIFIER
(REFERENCE)</t>
  </si>
  <si>
    <t>ASSIGNED PERSON</t>
  </si>
  <si>
    <t>FELIX OTIATO</t>
  </si>
  <si>
    <t>CS</t>
  </si>
  <si>
    <t>TIME</t>
  </si>
  <si>
    <t xml:space="preserve">DATE </t>
  </si>
  <si>
    <t>PARTICIPANTS</t>
  </si>
  <si>
    <t>DURATION</t>
  </si>
  <si>
    <t>SCHEDULED DATE</t>
  </si>
  <si>
    <t>AGENDA/PURPOSE</t>
  </si>
  <si>
    <t>S/N</t>
  </si>
  <si>
    <t>ACTION REQUIRED</t>
  </si>
  <si>
    <t>COMMUNICATION TYPE
(Email/Letter/Phone)</t>
  </si>
  <si>
    <t>TITLE FOR MEETING</t>
  </si>
  <si>
    <t>UNIQUE IDENTIFIER
(ID)</t>
  </si>
  <si>
    <t>DATE CREATED</t>
  </si>
  <si>
    <t>RESPONSIBLE PERSON(S)</t>
  </si>
  <si>
    <t>REVIEW DATE</t>
  </si>
  <si>
    <t>LAST UPDATED</t>
  </si>
  <si>
    <t>Re-deployment</t>
  </si>
  <si>
    <t>STATUS 
(Pending/In Progress/ Closed)</t>
  </si>
  <si>
    <t>High Priority</t>
  </si>
  <si>
    <t>Medium Priority</t>
  </si>
  <si>
    <t>Low Priority</t>
  </si>
  <si>
    <t>Completed</t>
  </si>
  <si>
    <t>Draft</t>
  </si>
  <si>
    <t>Review</t>
  </si>
  <si>
    <t>STATUS 
(Scheduled/Postponed /Completed/Cancelled)</t>
  </si>
  <si>
    <t>Scheduled</t>
  </si>
  <si>
    <t xml:space="preserve">DOCUMENT NAME 
</t>
  </si>
  <si>
    <t>DOCUMENT TYPE 
(Report, Meeting Minutes, Correspondence e.t.c)</t>
  </si>
  <si>
    <t>STATUS 
(Draft, Review, Pending, Approved, Archived)</t>
  </si>
  <si>
    <t>Total No. of Documents Processed</t>
  </si>
  <si>
    <t>Total No. of Correspondences</t>
  </si>
  <si>
    <t>Approved</t>
  </si>
  <si>
    <t>Archived</t>
  </si>
  <si>
    <r>
      <t xml:space="preserve">ACTION NOTES/UPDATES
</t>
    </r>
    <r>
      <rPr>
        <b/>
        <i/>
        <sz val="16"/>
        <color theme="1"/>
        <rFont val="Maiandra GD"/>
        <family val="2"/>
      </rPr>
      <t>(Related to the meeting)</t>
    </r>
  </si>
  <si>
    <t>Total No. of  Meetings</t>
  </si>
  <si>
    <t>Postponed</t>
  </si>
  <si>
    <t>Cancelled</t>
  </si>
  <si>
    <t>CHRAC</t>
  </si>
  <si>
    <t>1. Promotions
2. Re-designations
3. Discipline</t>
  </si>
  <si>
    <t>1. CS 
2. All COs
2. Director HRM&amp;D</t>
  </si>
  <si>
    <t xml:space="preserve">Performance Management </t>
  </si>
  <si>
    <t>2Hrs</t>
  </si>
  <si>
    <t>3Hrs</t>
  </si>
  <si>
    <t>4Hrs</t>
  </si>
  <si>
    <t xml:space="preserve">PC 2025/26 Programme </t>
  </si>
  <si>
    <t xml:space="preserve">Cabinet </t>
  </si>
  <si>
    <t>1. Budget</t>
  </si>
  <si>
    <t>CECMs</t>
  </si>
  <si>
    <t>Programme developed</t>
  </si>
  <si>
    <t xml:space="preserve">Public Participation </t>
  </si>
  <si>
    <t>1Hr</t>
  </si>
  <si>
    <t>Strategic Plan - PSM&amp;ICT</t>
  </si>
  <si>
    <t>Meeting Minutes</t>
  </si>
  <si>
    <t>Report</t>
  </si>
  <si>
    <t>Sum of High Priority</t>
  </si>
  <si>
    <t>Sum of Medium Priority</t>
  </si>
  <si>
    <t>Sum of Low Priority</t>
  </si>
  <si>
    <t>Sum of Average Response Time (Day/s)</t>
  </si>
  <si>
    <t>Sum of Draft</t>
  </si>
  <si>
    <t>Sum of Review</t>
  </si>
  <si>
    <t>Sum of Approved</t>
  </si>
  <si>
    <t>Sum of Archived</t>
  </si>
  <si>
    <t>Sum of Total No. of Documents Processed</t>
  </si>
  <si>
    <t>Sum of Completed</t>
  </si>
  <si>
    <t>Sum of Scheduled</t>
  </si>
  <si>
    <t>Sum of Postponed</t>
  </si>
  <si>
    <t>Sum of Cancelled</t>
  </si>
  <si>
    <t>SUMMARY OF KEY PERFORMANCE INDICATORS (KPIs)</t>
  </si>
  <si>
    <t>Sum of Total No. of Correspondences</t>
  </si>
  <si>
    <t>Sum of Total No. of  Meetings</t>
  </si>
  <si>
    <t xml:space="preserve">CORRESPONDENCES </t>
  </si>
  <si>
    <t xml:space="preserve">MEETINGS &amp; COORDINATION </t>
  </si>
  <si>
    <t xml:space="preserve">DOCUMENTS MANAGEMENT </t>
  </si>
  <si>
    <t>ACTION NOTES
(Related to the Documents)</t>
  </si>
  <si>
    <t>SCHEDULED MEETINGS TRACKER</t>
  </si>
  <si>
    <t>CHRAC Minutes</t>
  </si>
  <si>
    <t>PC Development FY2025/26 Report</t>
  </si>
  <si>
    <t xml:space="preserve">CURRENT UPDATES &amp; OVERVIEW OF KEY PERFORMANCE INDICATORS (KPIs) AS AT JUNE, 2025  </t>
  </si>
  <si>
    <t>DOCUMENTS MANAGEMENT TRACKER</t>
  </si>
  <si>
    <t>1. CORRESPONDENCES</t>
  </si>
  <si>
    <t xml:space="preserve">2. DOCUMENT MANAGEMENT </t>
  </si>
  <si>
    <t>3. MEETINGS &amp; COORDIINATION</t>
  </si>
  <si>
    <t>CORRESPONDENCE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</si>
</sst>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Maiandra GD"/>
      <family val="2"/>
    </font>
    <font>
      <b/>
      <sz val="12"/>
      <color theme="1"/>
      <name val="Maiandra GD"/>
      <family val="2"/>
    </font>
    <font>
      <b/>
      <sz val="16"/>
      <color theme="1"/>
      <name val="Maiandra GD"/>
      <family val="2"/>
    </font>
    <font>
      <b/>
      <sz val="22"/>
      <color theme="1"/>
      <name val="Maiandra GD"/>
      <family val="2"/>
    </font>
    <font>
      <b/>
      <sz val="14"/>
      <color theme="1"/>
      <name val="Maiandra GD"/>
      <family val="2"/>
    </font>
    <font>
      <sz val="16"/>
      <color theme="1"/>
      <name val="Maiandra GD"/>
      <family val="2"/>
    </font>
    <font>
      <b/>
      <u/>
      <sz val="14"/>
      <color theme="1"/>
      <name val="Maiandra GD"/>
      <family val="2"/>
    </font>
    <font>
      <b/>
      <sz val="11"/>
      <color theme="1"/>
      <name val="Calibri"/>
      <family val="2"/>
      <scheme val="minor"/>
    </font>
    <font>
      <b/>
      <u/>
      <sz val="36"/>
      <color theme="1"/>
      <name val="Maiandra GD"/>
      <family val="2"/>
    </font>
    <font>
      <b/>
      <i/>
      <sz val="16"/>
      <color theme="1"/>
      <name val="Maiandra GD"/>
      <family val="2"/>
    </font>
    <font>
      <b/>
      <sz val="15"/>
      <color theme="1"/>
      <name val="Maiandra GD"/>
      <family val="2"/>
    </font>
    <font>
      <b/>
      <u/>
      <sz val="18"/>
      <color theme="1"/>
      <name val="Maiandra GD"/>
      <family val="2"/>
    </font>
    <font>
      <b/>
      <u/>
      <sz val="24"/>
      <color theme="1"/>
      <name val="Maiandra GD"/>
      <family val="2"/>
    </font>
    <font>
      <u/>
      <sz val="18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5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4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right" vertical="top" wrapText="1"/>
    </xf>
    <xf numFmtId="0" fontId="7" fillId="0" borderId="1" xfId="1" applyNumberFormat="1" applyFont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vertical="top" wrapText="1"/>
    </xf>
    <xf numFmtId="0" fontId="7" fillId="10" borderId="1" xfId="0" applyFont="1" applyFill="1" applyBorder="1" applyAlignment="1">
      <alignment vertical="center" wrapText="1"/>
    </xf>
    <xf numFmtId="0" fontId="7" fillId="10" borderId="1" xfId="0" applyFont="1" applyFill="1" applyBorder="1" applyAlignment="1">
      <alignment vertical="top" wrapText="1"/>
    </xf>
    <xf numFmtId="0" fontId="7" fillId="11" borderId="1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vertical="top" wrapText="1"/>
    </xf>
    <xf numFmtId="0" fontId="7" fillId="12" borderId="1" xfId="0" applyFont="1" applyFill="1" applyBorder="1" applyAlignment="1">
      <alignment vertical="center" wrapText="1"/>
    </xf>
    <xf numFmtId="0" fontId="7" fillId="12" borderId="1" xfId="0" applyFont="1" applyFill="1" applyBorder="1" applyAlignment="1">
      <alignment vertical="top" wrapText="1"/>
    </xf>
    <xf numFmtId="0" fontId="7" fillId="13" borderId="1" xfId="0" applyFont="1" applyFill="1" applyBorder="1" applyAlignment="1">
      <alignment vertical="center" wrapText="1"/>
    </xf>
    <xf numFmtId="0" fontId="7" fillId="13" borderId="1" xfId="0" applyFont="1" applyFill="1" applyBorder="1" applyAlignment="1">
      <alignment vertical="top" wrapText="1"/>
    </xf>
    <xf numFmtId="0" fontId="7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top" wrapText="1"/>
    </xf>
    <xf numFmtId="0" fontId="7" fillId="15" borderId="1" xfId="0" applyFont="1" applyFill="1" applyBorder="1" applyAlignment="1">
      <alignment vertical="center" wrapText="1"/>
    </xf>
    <xf numFmtId="0" fontId="7" fillId="15" borderId="1" xfId="0" applyFont="1" applyFill="1" applyBorder="1" applyAlignment="1">
      <alignment vertical="top" wrapText="1"/>
    </xf>
    <xf numFmtId="0" fontId="7" fillId="0" borderId="4" xfId="0" applyFont="1" applyBorder="1" applyAlignment="1">
      <alignment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vertical="center" wrapText="1"/>
    </xf>
    <xf numFmtId="0" fontId="7" fillId="11" borderId="4" xfId="0" applyFont="1" applyFill="1" applyBorder="1" applyAlignment="1">
      <alignment vertical="center" wrapText="1"/>
    </xf>
    <xf numFmtId="0" fontId="7" fillId="12" borderId="4" xfId="0" applyFont="1" applyFill="1" applyBorder="1" applyAlignment="1">
      <alignment vertical="center" wrapText="1"/>
    </xf>
    <xf numFmtId="0" fontId="7" fillId="13" borderId="4" xfId="0" applyFont="1" applyFill="1" applyBorder="1" applyAlignment="1">
      <alignment vertical="center" wrapText="1"/>
    </xf>
    <xf numFmtId="0" fontId="7" fillId="14" borderId="4" xfId="0" applyFont="1" applyFill="1" applyBorder="1" applyAlignment="1">
      <alignment horizontal="center" vertical="center" wrapText="1"/>
    </xf>
    <xf numFmtId="0" fontId="7" fillId="15" borderId="4" xfId="0" applyFont="1" applyFill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1" applyNumberFormat="1" applyFont="1" applyBorder="1" applyAlignment="1">
      <alignment horizontal="center" vertical="center" wrapText="1"/>
    </xf>
    <xf numFmtId="0" fontId="3" fillId="4" borderId="1" xfId="0" applyFont="1" applyFill="1" applyBorder="1" applyAlignment="1" applyProtection="1">
      <alignment horizontal="center" vertical="center" wrapText="1"/>
      <protection hidden="1"/>
    </xf>
    <xf numFmtId="1" fontId="7" fillId="11" borderId="1" xfId="1" applyNumberFormat="1" applyFont="1" applyFill="1" applyBorder="1" applyAlignment="1">
      <alignment vertical="center" wrapText="1"/>
    </xf>
    <xf numFmtId="14" fontId="7" fillId="0" borderId="4" xfId="0" applyNumberFormat="1" applyFont="1" applyBorder="1" applyAlignment="1">
      <alignment vertical="center" wrapText="1"/>
    </xf>
    <xf numFmtId="14" fontId="7" fillId="0" borderId="1" xfId="0" applyNumberFormat="1" applyFont="1" applyBorder="1" applyAlignment="1">
      <alignment vertical="center" wrapText="1"/>
    </xf>
    <xf numFmtId="18" fontId="7" fillId="0" borderId="4" xfId="0" applyNumberFormat="1" applyFont="1" applyBorder="1" applyAlignment="1">
      <alignment vertical="center" wrapText="1"/>
    </xf>
    <xf numFmtId="18" fontId="7" fillId="11" borderId="1" xfId="0" applyNumberFormat="1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top" wrapText="1"/>
    </xf>
    <xf numFmtId="0" fontId="7" fillId="0" borderId="4" xfId="0" applyNumberFormat="1" applyFont="1" applyBorder="1" applyAlignment="1">
      <alignment horizontal="left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pivotButton="1" applyAlignment="1">
      <alignment horizontal="center" vertical="center" wrapText="1"/>
    </xf>
    <xf numFmtId="0" fontId="7" fillId="9" borderId="4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top" wrapText="1"/>
    </xf>
    <xf numFmtId="0" fontId="7" fillId="13" borderId="4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3" fillId="22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3" fillId="22" borderId="6" xfId="0" applyFont="1" applyFill="1" applyBorder="1" applyAlignment="1">
      <alignment vertical="center" wrapText="1"/>
    </xf>
    <xf numFmtId="0" fontId="3" fillId="8" borderId="6" xfId="0" applyFont="1" applyFill="1" applyBorder="1" applyAlignment="1">
      <alignment vertical="center" wrapText="1"/>
    </xf>
    <xf numFmtId="0" fontId="0" fillId="0" borderId="0" xfId="0" applyNumberFormat="1" applyFont="1" applyAlignment="1">
      <alignment horizontal="center" vertical="center" wrapText="1"/>
    </xf>
    <xf numFmtId="1" fontId="0" fillId="0" borderId="0" xfId="0" applyNumberFormat="1" applyFont="1" applyAlignment="1">
      <alignment horizontal="center" vertical="center" wrapText="1"/>
    </xf>
    <xf numFmtId="0" fontId="9" fillId="0" borderId="0" xfId="0" applyNumberFormat="1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6" fillId="18" borderId="0" xfId="0" applyFont="1" applyFill="1" applyBorder="1" applyAlignment="1">
      <alignment vertical="center" wrapText="1"/>
    </xf>
    <xf numFmtId="0" fontId="3" fillId="3" borderId="1" xfId="0" applyFont="1" applyFill="1" applyBorder="1" applyAlignment="1" applyProtection="1">
      <alignment horizontal="center" vertical="center" wrapText="1"/>
      <protection hidden="1"/>
    </xf>
    <xf numFmtId="0" fontId="12" fillId="4" borderId="1" xfId="0" applyFont="1" applyFill="1" applyBorder="1" applyAlignment="1" applyProtection="1">
      <alignment horizontal="center" vertical="center" wrapText="1"/>
      <protection hidden="1"/>
    </xf>
    <xf numFmtId="0" fontId="3" fillId="6" borderId="1" xfId="0" applyFont="1" applyFill="1" applyBorder="1" applyAlignment="1" applyProtection="1">
      <alignment horizontal="center" vertical="center" wrapText="1"/>
      <protection hidden="1"/>
    </xf>
    <xf numFmtId="0" fontId="3" fillId="7" borderId="1" xfId="0" applyFont="1" applyFill="1" applyBorder="1" applyAlignment="1" applyProtection="1">
      <alignment horizontal="center" vertical="center" wrapText="1"/>
      <protection hidden="1"/>
    </xf>
    <xf numFmtId="0" fontId="3" fillId="5" borderId="1" xfId="0" applyFont="1" applyFill="1" applyBorder="1" applyAlignment="1" applyProtection="1">
      <alignment horizontal="center" vertical="center" wrapText="1"/>
      <protection hidden="1"/>
    </xf>
    <xf numFmtId="0" fontId="3" fillId="2" borderId="1" xfId="0" applyFont="1" applyFill="1" applyBorder="1" applyAlignment="1" applyProtection="1">
      <alignment horizontal="center" vertical="center" wrapText="1"/>
      <protection hidden="1"/>
    </xf>
    <xf numFmtId="1" fontId="3" fillId="8" borderId="1" xfId="0" applyNumberFormat="1" applyFont="1" applyFill="1" applyBorder="1" applyAlignment="1" applyProtection="1">
      <alignment horizontal="center" vertical="center" wrapText="1"/>
      <protection hidden="1"/>
    </xf>
    <xf numFmtId="0" fontId="3" fillId="20" borderId="1" xfId="0" applyFont="1" applyFill="1" applyBorder="1" applyAlignment="1" applyProtection="1">
      <alignment horizontal="center"/>
      <protection hidden="1"/>
    </xf>
    <xf numFmtId="0" fontId="3" fillId="24" borderId="1" xfId="0" applyFont="1" applyFill="1" applyBorder="1" applyAlignment="1" applyProtection="1">
      <alignment horizontal="center" vertical="center" wrapText="1"/>
      <protection hidden="1"/>
    </xf>
    <xf numFmtId="0" fontId="3" fillId="22" borderId="1" xfId="0" applyFont="1" applyFill="1" applyBorder="1" applyAlignment="1" applyProtection="1">
      <alignment horizontal="center" vertical="center" wrapText="1"/>
      <protection hidden="1"/>
    </xf>
    <xf numFmtId="14" fontId="7" fillId="17" borderId="1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hidden="1"/>
    </xf>
    <xf numFmtId="0" fontId="3" fillId="8" borderId="1" xfId="0" applyFont="1" applyFill="1" applyBorder="1" applyAlignment="1" applyProtection="1">
      <alignment horizontal="center" vertical="center" wrapText="1"/>
      <protection hidden="1"/>
    </xf>
    <xf numFmtId="0" fontId="3" fillId="21" borderId="1" xfId="0" applyFont="1" applyFill="1" applyBorder="1" applyAlignment="1" applyProtection="1">
      <alignment horizontal="center" vertical="center" wrapText="1"/>
      <protection hidden="1"/>
    </xf>
    <xf numFmtId="0" fontId="3" fillId="16" borderId="1" xfId="0" applyFont="1" applyFill="1" applyBorder="1" applyAlignment="1" applyProtection="1">
      <alignment horizontal="center" vertical="center" wrapText="1"/>
      <protection hidden="1"/>
    </xf>
    <xf numFmtId="0" fontId="4" fillId="26" borderId="3" xfId="0" applyFont="1" applyFill="1" applyBorder="1" applyAlignment="1">
      <alignment horizontal="center" vertical="center" wrapText="1"/>
    </xf>
    <xf numFmtId="0" fontId="1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10" fillId="23" borderId="5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19" borderId="5" xfId="0" applyFont="1" applyFill="1" applyBorder="1" applyAlignment="1">
      <alignment horizontal="center" vertical="center" wrapText="1"/>
    </xf>
    <xf numFmtId="0" fontId="13" fillId="23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13" fillId="19" borderId="0" xfId="0" applyFont="1" applyFill="1" applyAlignment="1">
      <alignment horizontal="center" vertical="center" wrapText="1"/>
    </xf>
    <xf numFmtId="0" fontId="15" fillId="19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7" borderId="8" xfId="0" applyFont="1" applyFill="1" applyBorder="1" applyAlignment="1">
      <alignment horizontal="center" vertical="center" wrapText="1"/>
    </xf>
    <xf numFmtId="0" fontId="3" fillId="27" borderId="10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wrapText="1"/>
    </xf>
    <xf numFmtId="0" fontId="6" fillId="23" borderId="2" xfId="0" applyFont="1" applyFill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27" borderId="6" xfId="0" applyFont="1" applyFill="1" applyBorder="1" applyAlignment="1">
      <alignment horizontal="center" vertical="center" wrapText="1"/>
    </xf>
    <xf numFmtId="0" fontId="3" fillId="27" borderId="4" xfId="0" applyFont="1" applyFill="1" applyBorder="1" applyAlignment="1">
      <alignment horizontal="center" vertical="center" wrapText="1"/>
    </xf>
    <xf numFmtId="0" fontId="3" fillId="27" borderId="7" xfId="0" applyFont="1" applyFill="1" applyBorder="1" applyAlignment="1">
      <alignment horizontal="center" vertical="center" wrapText="1"/>
    </xf>
    <xf numFmtId="0" fontId="3" fillId="27" borderId="9" xfId="0" applyFont="1" applyFill="1" applyBorder="1" applyAlignment="1">
      <alignment horizontal="center" vertical="center" wrapText="1"/>
    </xf>
    <xf numFmtId="0" fontId="6" fillId="27" borderId="6" xfId="0" applyFont="1" applyFill="1" applyBorder="1" applyAlignment="1">
      <alignment horizontal="center" vertical="center" wrapText="1"/>
    </xf>
    <xf numFmtId="0" fontId="6" fillId="27" borderId="4" xfId="0" applyFont="1" applyFill="1" applyBorder="1" applyAlignment="1">
      <alignment horizontal="center" vertical="center" wrapText="1"/>
    </xf>
    <xf numFmtId="0" fontId="3" fillId="27" borderId="11" xfId="0" applyFon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0" fontId="12" fillId="27" borderId="6" xfId="0" applyFont="1" applyFill="1" applyBorder="1" applyAlignment="1">
      <alignment horizontal="center" vertical="center" wrapText="1"/>
    </xf>
    <xf numFmtId="0" fontId="12" fillId="27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center" wrapText="1"/>
    </xf>
    <xf numFmtId="0" fontId="14" fillId="25" borderId="0" xfId="0" applyFont="1" applyFill="1" applyBorder="1" applyAlignment="1">
      <alignment horizontal="center" vertical="center" wrapText="1"/>
    </xf>
    <xf numFmtId="0" fontId="6" fillId="18" borderId="2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wrapText="1"/>
    </xf>
  </cellXfs>
  <cellStyles count="2">
    <cellStyle name="Comma" xfId="1" builtinId="3"/>
    <cellStyle name="Normal" xfId="0" builtinId="0"/>
  </cellStyles>
  <dxfs count="124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</font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alignment horizontal="center"/>
    </dxf>
    <dxf>
      <numFmt numFmtId="1" formatCode="0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auto="1"/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FF"/>
      <color rgb="FF0066FF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Dashboard_-_Office_of_the_County_Secretary_&amp;_Head_of_Public_Service_-_FINAL(1).xlsx]Statistics!PivotTable1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4.8702874796252127E-2"/>
          <c:y val="0.14712744240303297"/>
          <c:w val="0.63665958767602182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Statistics!$B$2</c:f>
              <c:strCache>
                <c:ptCount val="1"/>
                <c:pt idx="0">
                  <c:v>Sum of Emails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Statistics!$A$3:$A$4</c:f>
              <c:strCache>
                <c:ptCount val="1"/>
                <c:pt idx="0">
                  <c:v>12</c:v>
                </c:pt>
              </c:strCache>
            </c:strRef>
          </c:cat>
          <c:val>
            <c:numRef>
              <c:f>Statistics!$B$3:$B$4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C-4DDC-8C30-B63981979956}"/>
            </c:ext>
          </c:extLst>
        </c:ser>
        <c:ser>
          <c:idx val="1"/>
          <c:order val="1"/>
          <c:tx>
            <c:strRef>
              <c:f>Statistics!$C$2</c:f>
              <c:strCache>
                <c:ptCount val="1"/>
                <c:pt idx="0">
                  <c:v>Sum of Phone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Statistics!$A$3:$A$4</c:f>
              <c:strCache>
                <c:ptCount val="1"/>
                <c:pt idx="0">
                  <c:v>12</c:v>
                </c:pt>
              </c:strCache>
            </c:strRef>
          </c:cat>
          <c:val>
            <c:numRef>
              <c:f>Statistics!$C$3:$C$4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DC-4DDC-8C30-B63981979956}"/>
            </c:ext>
          </c:extLst>
        </c:ser>
        <c:ser>
          <c:idx val="2"/>
          <c:order val="2"/>
          <c:tx>
            <c:strRef>
              <c:f>Statistics!$D$2</c:f>
              <c:strCache>
                <c:ptCount val="1"/>
                <c:pt idx="0">
                  <c:v>Sum of Letters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Statistics!$A$3:$A$4</c:f>
              <c:strCache>
                <c:ptCount val="1"/>
                <c:pt idx="0">
                  <c:v>12</c:v>
                </c:pt>
              </c:strCache>
            </c:strRef>
          </c:cat>
          <c:val>
            <c:numRef>
              <c:f>Statistics!$D$3:$D$4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DC-4DDC-8C30-B63981979956}"/>
            </c:ext>
          </c:extLst>
        </c:ser>
        <c:ser>
          <c:idx val="3"/>
          <c:order val="3"/>
          <c:tx>
            <c:strRef>
              <c:f>Statistics!$E$2</c:f>
              <c:strCache>
                <c:ptCount val="1"/>
                <c:pt idx="0">
                  <c:v>Sum of Closed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Statistics!$A$3:$A$4</c:f>
              <c:strCache>
                <c:ptCount val="1"/>
                <c:pt idx="0">
                  <c:v>12</c:v>
                </c:pt>
              </c:strCache>
            </c:strRef>
          </c:cat>
          <c:val>
            <c:numRef>
              <c:f>Statistics!$E$3:$E$4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DC-4DDC-8C30-B63981979956}"/>
            </c:ext>
          </c:extLst>
        </c:ser>
        <c:ser>
          <c:idx val="4"/>
          <c:order val="4"/>
          <c:tx>
            <c:strRef>
              <c:f>Statistics!$F$2</c:f>
              <c:strCache>
                <c:ptCount val="1"/>
                <c:pt idx="0">
                  <c:v>Sum of Average Response Time (Day/s)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Statistics!$A$3:$A$4</c:f>
              <c:strCache>
                <c:ptCount val="1"/>
                <c:pt idx="0">
                  <c:v>12</c:v>
                </c:pt>
              </c:strCache>
            </c:strRef>
          </c:cat>
          <c:val>
            <c:numRef>
              <c:f>Statistics!$F$3:$F$4</c:f>
              <c:numCache>
                <c:formatCode>0</c:formatCode>
                <c:ptCount val="1"/>
                <c:pt idx="0">
                  <c:v>2.7777777777777777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DC-4DDC-8C30-B63981979956}"/>
            </c:ext>
          </c:extLst>
        </c:ser>
        <c:ser>
          <c:idx val="5"/>
          <c:order val="5"/>
          <c:tx>
            <c:strRef>
              <c:f>Statistics!$G$2</c:f>
              <c:strCache>
                <c:ptCount val="1"/>
                <c:pt idx="0">
                  <c:v>Sum of Medium Priority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Statistics!$A$3:$A$4</c:f>
              <c:strCache>
                <c:ptCount val="1"/>
                <c:pt idx="0">
                  <c:v>12</c:v>
                </c:pt>
              </c:strCache>
            </c:strRef>
          </c:cat>
          <c:val>
            <c:numRef>
              <c:f>Statistics!$G$3:$G$4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DC-4DDC-8C30-B63981979956}"/>
            </c:ext>
          </c:extLst>
        </c:ser>
        <c:ser>
          <c:idx val="6"/>
          <c:order val="6"/>
          <c:tx>
            <c:strRef>
              <c:f>Statistics!$H$2</c:f>
              <c:strCache>
                <c:ptCount val="1"/>
                <c:pt idx="0">
                  <c:v>Sum of Low Priority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Statistics!$A$3:$A$4</c:f>
              <c:strCache>
                <c:ptCount val="1"/>
                <c:pt idx="0">
                  <c:v>12</c:v>
                </c:pt>
              </c:strCache>
            </c:strRef>
          </c:cat>
          <c:val>
            <c:numRef>
              <c:f>Statistics!$H$3:$H$4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DC-4DDC-8C30-B63981979956}"/>
            </c:ext>
          </c:extLst>
        </c:ser>
        <c:ser>
          <c:idx val="7"/>
          <c:order val="7"/>
          <c:tx>
            <c:strRef>
              <c:f>Statistics!$I$2</c:f>
              <c:strCache>
                <c:ptCount val="1"/>
                <c:pt idx="0">
                  <c:v>Sum of High Priority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Statistics!$A$3:$A$4</c:f>
              <c:strCache>
                <c:ptCount val="1"/>
                <c:pt idx="0">
                  <c:v>12</c:v>
                </c:pt>
              </c:strCache>
            </c:strRef>
          </c:cat>
          <c:val>
            <c:numRef>
              <c:f>Statistics!$I$3:$I$4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2DC-4DDC-8C30-B63981979956}"/>
            </c:ext>
          </c:extLst>
        </c:ser>
        <c:ser>
          <c:idx val="8"/>
          <c:order val="8"/>
          <c:tx>
            <c:strRef>
              <c:f>Statistics!$J$2</c:f>
              <c:strCache>
                <c:ptCount val="1"/>
                <c:pt idx="0">
                  <c:v>Sum of Pending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Statistics!$A$3:$A$4</c:f>
              <c:strCache>
                <c:ptCount val="1"/>
                <c:pt idx="0">
                  <c:v>12</c:v>
                </c:pt>
              </c:strCache>
            </c:strRef>
          </c:cat>
          <c:val>
            <c:numRef>
              <c:f>Statistics!$J$3:$J$4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2DC-4DDC-8C30-B63981979956}"/>
            </c:ext>
          </c:extLst>
        </c:ser>
        <c:ser>
          <c:idx val="9"/>
          <c:order val="9"/>
          <c:tx>
            <c:strRef>
              <c:f>Statistics!$K$2</c:f>
              <c:strCache>
                <c:ptCount val="1"/>
                <c:pt idx="0">
                  <c:v>Sum of In Progress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Statistics!$A$3:$A$4</c:f>
              <c:strCache>
                <c:ptCount val="1"/>
                <c:pt idx="0">
                  <c:v>12</c:v>
                </c:pt>
              </c:strCache>
            </c:strRef>
          </c:cat>
          <c:val>
            <c:numRef>
              <c:f>Statistics!$K$3:$K$4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2DC-4DDC-8C30-B63981979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3463288"/>
        <c:axId val="393464600"/>
      </c:barChart>
      <c:catAx>
        <c:axId val="393463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464600"/>
        <c:crosses val="autoZero"/>
        <c:auto val="1"/>
        <c:lblAlgn val="ctr"/>
        <c:lblOffset val="100"/>
        <c:noMultiLvlLbl val="0"/>
      </c:catAx>
      <c:valAx>
        <c:axId val="393464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463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Dashboard_-_Office_of_the_County_Secretary_&amp;_Head_of_Public_Service_-_FINAL(1).xlsx]Docs Statistics!PivotTable14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'Docs Statistics'!$B$3</c:f>
              <c:strCache>
                <c:ptCount val="1"/>
                <c:pt idx="0">
                  <c:v>Sum of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'Docs Statistics'!$A$4:$A$6</c:f>
              <c:strCache>
                <c:ptCount val="2"/>
                <c:pt idx="0">
                  <c:v>(blank)</c:v>
                </c:pt>
                <c:pt idx="1">
                  <c:v>5</c:v>
                </c:pt>
              </c:strCache>
            </c:strRef>
          </c:cat>
          <c:val>
            <c:numRef>
              <c:f>'Docs Statistics'!$B$4:$B$6</c:f>
              <c:numCache>
                <c:formatCode>General</c:formatCode>
                <c:ptCount val="2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0D-451A-BD3F-6589AD97F4B7}"/>
            </c:ext>
          </c:extLst>
        </c:ser>
        <c:ser>
          <c:idx val="1"/>
          <c:order val="1"/>
          <c:tx>
            <c:strRef>
              <c:f>'Docs Statistics'!$C$3</c:f>
              <c:strCache>
                <c:ptCount val="1"/>
                <c:pt idx="0">
                  <c:v>Sum of Review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'Docs Statistics'!$A$4:$A$6</c:f>
              <c:strCache>
                <c:ptCount val="2"/>
                <c:pt idx="0">
                  <c:v>(blank)</c:v>
                </c:pt>
                <c:pt idx="1">
                  <c:v>5</c:v>
                </c:pt>
              </c:strCache>
            </c:strRef>
          </c:cat>
          <c:val>
            <c:numRef>
              <c:f>'Docs Statistics'!$C$4:$C$6</c:f>
              <c:numCache>
                <c:formatCode>General</c:formatCode>
                <c:ptCount val="2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0D-451A-BD3F-6589AD97F4B7}"/>
            </c:ext>
          </c:extLst>
        </c:ser>
        <c:ser>
          <c:idx val="2"/>
          <c:order val="2"/>
          <c:tx>
            <c:strRef>
              <c:f>'Docs Statistics'!$D$3</c:f>
              <c:strCache>
                <c:ptCount val="1"/>
                <c:pt idx="0">
                  <c:v>Sum of Approved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'Docs Statistics'!$A$4:$A$6</c:f>
              <c:strCache>
                <c:ptCount val="2"/>
                <c:pt idx="0">
                  <c:v>(blank)</c:v>
                </c:pt>
                <c:pt idx="1">
                  <c:v>5</c:v>
                </c:pt>
              </c:strCache>
            </c:strRef>
          </c:cat>
          <c:val>
            <c:numRef>
              <c:f>'Docs Statistics'!$D$4:$D$6</c:f>
              <c:numCache>
                <c:formatCode>General</c:formatCode>
                <c:ptCount val="2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0D-451A-BD3F-6589AD97F4B7}"/>
            </c:ext>
          </c:extLst>
        </c:ser>
        <c:ser>
          <c:idx val="3"/>
          <c:order val="3"/>
          <c:tx>
            <c:strRef>
              <c:f>'Docs Statistics'!$E$3</c:f>
              <c:strCache>
                <c:ptCount val="1"/>
                <c:pt idx="0">
                  <c:v>Sum of Pending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'Docs Statistics'!$A$4:$A$6</c:f>
              <c:strCache>
                <c:ptCount val="2"/>
                <c:pt idx="0">
                  <c:v>(blank)</c:v>
                </c:pt>
                <c:pt idx="1">
                  <c:v>5</c:v>
                </c:pt>
              </c:strCache>
            </c:strRef>
          </c:cat>
          <c:val>
            <c:numRef>
              <c:f>'Docs Statistics'!$E$4:$E$6</c:f>
              <c:numCache>
                <c:formatCode>General</c:formatCode>
                <c:ptCount val="2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0D-451A-BD3F-6589AD97F4B7}"/>
            </c:ext>
          </c:extLst>
        </c:ser>
        <c:ser>
          <c:idx val="4"/>
          <c:order val="4"/>
          <c:tx>
            <c:strRef>
              <c:f>'Docs Statistics'!$F$3</c:f>
              <c:strCache>
                <c:ptCount val="1"/>
                <c:pt idx="0">
                  <c:v>Sum of Archived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'Docs Statistics'!$A$4:$A$6</c:f>
              <c:strCache>
                <c:ptCount val="2"/>
                <c:pt idx="0">
                  <c:v>(blank)</c:v>
                </c:pt>
                <c:pt idx="1">
                  <c:v>5</c:v>
                </c:pt>
              </c:strCache>
            </c:strRef>
          </c:cat>
          <c:val>
            <c:numRef>
              <c:f>'Docs Statistics'!$F$4:$F$6</c:f>
              <c:numCache>
                <c:formatCode>General</c:formatCode>
                <c:ptCount val="2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0D-451A-BD3F-6589AD97F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9799640"/>
        <c:axId val="393460008"/>
      </c:barChart>
      <c:catAx>
        <c:axId val="389799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460008"/>
        <c:crosses val="autoZero"/>
        <c:auto val="1"/>
        <c:lblAlgn val="ctr"/>
        <c:lblOffset val="100"/>
        <c:noMultiLvlLbl val="0"/>
      </c:catAx>
      <c:valAx>
        <c:axId val="393460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799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Dashboard_-_Office_of_the_County_Secretary_&amp;_Head_of_Public_Service_-_FINAL(1).xlsx]Sheet13!PivotTable16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Sheet13!$B$3</c:f>
              <c:strCache>
                <c:ptCount val="1"/>
                <c:pt idx="0">
                  <c:v>Sum of Completed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Sheet13!$A$4:$A$6</c:f>
              <c:strCache>
                <c:ptCount val="2"/>
                <c:pt idx="0">
                  <c:v>5</c:v>
                </c:pt>
                <c:pt idx="1">
                  <c:v>(blank)</c:v>
                </c:pt>
              </c:strCache>
            </c:strRef>
          </c:cat>
          <c:val>
            <c:numRef>
              <c:f>Sheet13!$B$4:$B$6</c:f>
              <c:numCache>
                <c:formatCode>General</c:formatCode>
                <c:ptCount val="2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3-4667-912F-51E7D41A50DA}"/>
            </c:ext>
          </c:extLst>
        </c:ser>
        <c:ser>
          <c:idx val="1"/>
          <c:order val="1"/>
          <c:tx>
            <c:strRef>
              <c:f>Sheet13!$C$3</c:f>
              <c:strCache>
                <c:ptCount val="1"/>
                <c:pt idx="0">
                  <c:v>Sum of Scheduled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Sheet13!$A$4:$A$6</c:f>
              <c:strCache>
                <c:ptCount val="2"/>
                <c:pt idx="0">
                  <c:v>5</c:v>
                </c:pt>
                <c:pt idx="1">
                  <c:v>(blank)</c:v>
                </c:pt>
              </c:strCache>
            </c:strRef>
          </c:cat>
          <c:val>
            <c:numRef>
              <c:f>Sheet13!$C$4:$C$6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F3-4667-912F-51E7D41A50DA}"/>
            </c:ext>
          </c:extLst>
        </c:ser>
        <c:ser>
          <c:idx val="2"/>
          <c:order val="2"/>
          <c:tx>
            <c:strRef>
              <c:f>Sheet13!$D$3</c:f>
              <c:strCache>
                <c:ptCount val="1"/>
                <c:pt idx="0">
                  <c:v>Sum of Postponed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Sheet13!$A$4:$A$6</c:f>
              <c:strCache>
                <c:ptCount val="2"/>
                <c:pt idx="0">
                  <c:v>5</c:v>
                </c:pt>
                <c:pt idx="1">
                  <c:v>(blank)</c:v>
                </c:pt>
              </c:strCache>
            </c:strRef>
          </c:cat>
          <c:val>
            <c:numRef>
              <c:f>Sheet13!$D$4:$D$6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F3-4667-912F-51E7D41A50DA}"/>
            </c:ext>
          </c:extLst>
        </c:ser>
        <c:ser>
          <c:idx val="3"/>
          <c:order val="3"/>
          <c:tx>
            <c:strRef>
              <c:f>Sheet13!$E$3</c:f>
              <c:strCache>
                <c:ptCount val="1"/>
                <c:pt idx="0">
                  <c:v>Sum of Cancelled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Sheet13!$A$4:$A$6</c:f>
              <c:strCache>
                <c:ptCount val="2"/>
                <c:pt idx="0">
                  <c:v>5</c:v>
                </c:pt>
                <c:pt idx="1">
                  <c:v>(blank)</c:v>
                </c:pt>
              </c:strCache>
            </c:strRef>
          </c:cat>
          <c:val>
            <c:numRef>
              <c:f>Sheet13!$E$4:$E$6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F3-4667-912F-51E7D41A5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7095312"/>
        <c:axId val="397096624"/>
      </c:barChart>
      <c:catAx>
        <c:axId val="39709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096624"/>
        <c:crosses val="autoZero"/>
        <c:auto val="1"/>
        <c:lblAlgn val="ctr"/>
        <c:lblOffset val="100"/>
        <c:noMultiLvlLbl val="0"/>
      </c:catAx>
      <c:valAx>
        <c:axId val="39709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09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Dashboard_-_Office_of_the_County_Secretary_&amp;_Head_of_Public_Service_-_FINAL(1).xlsx]Dashboard!PivotTable12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9599763783822136E-2"/>
          <c:y val="8.0667078978827828E-2"/>
          <c:w val="0.62497440671944071"/>
          <c:h val="0.8066965850936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Dashboard!$Q$4</c:f>
              <c:strCache>
                <c:ptCount val="1"/>
                <c:pt idx="0">
                  <c:v>Sum of Total No. of Correspondences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Dashboard!$P$5:$P$6</c:f>
              <c:strCache>
                <c:ptCount val="1"/>
                <c:pt idx="0">
                  <c:v>3</c:v>
                </c:pt>
              </c:strCache>
            </c:strRef>
          </c:cat>
          <c:val>
            <c:numRef>
              <c:f>Dashboard!$Q$5:$Q$6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2-4FFA-BED0-D11D27AA043B}"/>
            </c:ext>
          </c:extLst>
        </c:ser>
        <c:ser>
          <c:idx val="1"/>
          <c:order val="1"/>
          <c:tx>
            <c:strRef>
              <c:f>Dashboard!$R$4</c:f>
              <c:strCache>
                <c:ptCount val="1"/>
                <c:pt idx="0">
                  <c:v>Sum of Total No. of Documents 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Dashboard!$P$5:$P$6</c:f>
              <c:strCache>
                <c:ptCount val="1"/>
                <c:pt idx="0">
                  <c:v>3</c:v>
                </c:pt>
              </c:strCache>
            </c:strRef>
          </c:cat>
          <c:val>
            <c:numRef>
              <c:f>Dashboard!$R$5:$R$6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22-4FFA-BED0-D11D27AA043B}"/>
            </c:ext>
          </c:extLst>
        </c:ser>
        <c:ser>
          <c:idx val="2"/>
          <c:order val="2"/>
          <c:tx>
            <c:strRef>
              <c:f>Dashboard!$S$4</c:f>
              <c:strCache>
                <c:ptCount val="1"/>
                <c:pt idx="0">
                  <c:v>Sum of Total No. of  Meetings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Dashboard!$P$5:$P$6</c:f>
              <c:strCache>
                <c:ptCount val="1"/>
                <c:pt idx="0">
                  <c:v>3</c:v>
                </c:pt>
              </c:strCache>
            </c:strRef>
          </c:cat>
          <c:val>
            <c:numRef>
              <c:f>Dashboard!$S$5:$S$6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22-4FFA-BED0-D11D27AA0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9800624"/>
        <c:axId val="594439968"/>
      </c:barChart>
      <c:catAx>
        <c:axId val="38980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439968"/>
        <c:crosses val="autoZero"/>
        <c:auto val="1"/>
        <c:lblAlgn val="ctr"/>
        <c:lblOffset val="100"/>
        <c:noMultiLvlLbl val="0"/>
      </c:catAx>
      <c:valAx>
        <c:axId val="59443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80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2478702588037006"/>
          <c:y val="9.1891234735913402E-2"/>
          <c:w val="0.51231070923729827"/>
          <c:h val="0.303886509079591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Dashboard_-_Office_of_the_County_Secretary_&amp;_Head_of_Public_Service_-_FINAL(1).xlsx]Docs Statistics!PivotTable14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'Docs Statistics'!$B$3</c:f>
              <c:strCache>
                <c:ptCount val="1"/>
                <c:pt idx="0">
                  <c:v>Sum of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'Docs Statistics'!$A$4:$A$6</c:f>
              <c:strCache>
                <c:ptCount val="2"/>
                <c:pt idx="0">
                  <c:v>(blank)</c:v>
                </c:pt>
                <c:pt idx="1">
                  <c:v>5</c:v>
                </c:pt>
              </c:strCache>
            </c:strRef>
          </c:cat>
          <c:val>
            <c:numRef>
              <c:f>'Docs Statistics'!$B$4:$B$6</c:f>
              <c:numCache>
                <c:formatCode>General</c:formatCode>
                <c:ptCount val="2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83-4995-8960-CFB4549EB1A2}"/>
            </c:ext>
          </c:extLst>
        </c:ser>
        <c:ser>
          <c:idx val="1"/>
          <c:order val="1"/>
          <c:tx>
            <c:strRef>
              <c:f>'Docs Statistics'!$C$3</c:f>
              <c:strCache>
                <c:ptCount val="1"/>
                <c:pt idx="0">
                  <c:v>Sum of Review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'Docs Statistics'!$A$4:$A$6</c:f>
              <c:strCache>
                <c:ptCount val="2"/>
                <c:pt idx="0">
                  <c:v>(blank)</c:v>
                </c:pt>
                <c:pt idx="1">
                  <c:v>5</c:v>
                </c:pt>
              </c:strCache>
            </c:strRef>
          </c:cat>
          <c:val>
            <c:numRef>
              <c:f>'Docs Statistics'!$C$4:$C$6</c:f>
              <c:numCache>
                <c:formatCode>General</c:formatCode>
                <c:ptCount val="2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83-4995-8960-CFB4549EB1A2}"/>
            </c:ext>
          </c:extLst>
        </c:ser>
        <c:ser>
          <c:idx val="2"/>
          <c:order val="2"/>
          <c:tx>
            <c:strRef>
              <c:f>'Docs Statistics'!$D$3</c:f>
              <c:strCache>
                <c:ptCount val="1"/>
                <c:pt idx="0">
                  <c:v>Sum of Approved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'Docs Statistics'!$A$4:$A$6</c:f>
              <c:strCache>
                <c:ptCount val="2"/>
                <c:pt idx="0">
                  <c:v>(blank)</c:v>
                </c:pt>
                <c:pt idx="1">
                  <c:v>5</c:v>
                </c:pt>
              </c:strCache>
            </c:strRef>
          </c:cat>
          <c:val>
            <c:numRef>
              <c:f>'Docs Statistics'!$D$4:$D$6</c:f>
              <c:numCache>
                <c:formatCode>General</c:formatCode>
                <c:ptCount val="2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83-4995-8960-CFB4549EB1A2}"/>
            </c:ext>
          </c:extLst>
        </c:ser>
        <c:ser>
          <c:idx val="3"/>
          <c:order val="3"/>
          <c:tx>
            <c:strRef>
              <c:f>'Docs Statistics'!$E$3</c:f>
              <c:strCache>
                <c:ptCount val="1"/>
                <c:pt idx="0">
                  <c:v>Sum of Pending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'Docs Statistics'!$A$4:$A$6</c:f>
              <c:strCache>
                <c:ptCount val="2"/>
                <c:pt idx="0">
                  <c:v>(blank)</c:v>
                </c:pt>
                <c:pt idx="1">
                  <c:v>5</c:v>
                </c:pt>
              </c:strCache>
            </c:strRef>
          </c:cat>
          <c:val>
            <c:numRef>
              <c:f>'Docs Statistics'!$E$4:$E$6</c:f>
              <c:numCache>
                <c:formatCode>General</c:formatCode>
                <c:ptCount val="2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83-4995-8960-CFB4549EB1A2}"/>
            </c:ext>
          </c:extLst>
        </c:ser>
        <c:ser>
          <c:idx val="4"/>
          <c:order val="4"/>
          <c:tx>
            <c:strRef>
              <c:f>'Docs Statistics'!$F$3</c:f>
              <c:strCache>
                <c:ptCount val="1"/>
                <c:pt idx="0">
                  <c:v>Sum of Archived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'Docs Statistics'!$A$4:$A$6</c:f>
              <c:strCache>
                <c:ptCount val="2"/>
                <c:pt idx="0">
                  <c:v>(blank)</c:v>
                </c:pt>
                <c:pt idx="1">
                  <c:v>5</c:v>
                </c:pt>
              </c:strCache>
            </c:strRef>
          </c:cat>
          <c:val>
            <c:numRef>
              <c:f>'Docs Statistics'!$F$4:$F$6</c:f>
              <c:numCache>
                <c:formatCode>General</c:formatCode>
                <c:ptCount val="2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83-4995-8960-CFB4549EB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9799640"/>
        <c:axId val="393460008"/>
      </c:barChart>
      <c:catAx>
        <c:axId val="389799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460008"/>
        <c:crosses val="autoZero"/>
        <c:auto val="1"/>
        <c:lblAlgn val="ctr"/>
        <c:lblOffset val="100"/>
        <c:noMultiLvlLbl val="0"/>
      </c:catAx>
      <c:valAx>
        <c:axId val="393460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799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Dashboard_-_Office_of_the_County_Secretary_&amp;_Head_of_Public_Service_-_FINAL(1).xlsx]Sheet13!PivotTable16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Sheet13!$B$3</c:f>
              <c:strCache>
                <c:ptCount val="1"/>
                <c:pt idx="0">
                  <c:v>Sum of Completed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Sheet13!$A$4:$A$6</c:f>
              <c:strCache>
                <c:ptCount val="2"/>
                <c:pt idx="0">
                  <c:v>5</c:v>
                </c:pt>
                <c:pt idx="1">
                  <c:v>(blank)</c:v>
                </c:pt>
              </c:strCache>
            </c:strRef>
          </c:cat>
          <c:val>
            <c:numRef>
              <c:f>Sheet13!$B$4:$B$6</c:f>
              <c:numCache>
                <c:formatCode>General</c:formatCode>
                <c:ptCount val="2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8-4841-9362-2D14EC580896}"/>
            </c:ext>
          </c:extLst>
        </c:ser>
        <c:ser>
          <c:idx val="1"/>
          <c:order val="1"/>
          <c:tx>
            <c:strRef>
              <c:f>Sheet13!$C$3</c:f>
              <c:strCache>
                <c:ptCount val="1"/>
                <c:pt idx="0">
                  <c:v>Sum of Scheduled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Sheet13!$A$4:$A$6</c:f>
              <c:strCache>
                <c:ptCount val="2"/>
                <c:pt idx="0">
                  <c:v>5</c:v>
                </c:pt>
                <c:pt idx="1">
                  <c:v>(blank)</c:v>
                </c:pt>
              </c:strCache>
            </c:strRef>
          </c:cat>
          <c:val>
            <c:numRef>
              <c:f>Sheet13!$C$4:$C$6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18-4841-9362-2D14EC580896}"/>
            </c:ext>
          </c:extLst>
        </c:ser>
        <c:ser>
          <c:idx val="2"/>
          <c:order val="2"/>
          <c:tx>
            <c:strRef>
              <c:f>Sheet13!$D$3</c:f>
              <c:strCache>
                <c:ptCount val="1"/>
                <c:pt idx="0">
                  <c:v>Sum of Postponed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Sheet13!$A$4:$A$6</c:f>
              <c:strCache>
                <c:ptCount val="2"/>
                <c:pt idx="0">
                  <c:v>5</c:v>
                </c:pt>
                <c:pt idx="1">
                  <c:v>(blank)</c:v>
                </c:pt>
              </c:strCache>
            </c:strRef>
          </c:cat>
          <c:val>
            <c:numRef>
              <c:f>Sheet13!$D$4:$D$6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18-4841-9362-2D14EC580896}"/>
            </c:ext>
          </c:extLst>
        </c:ser>
        <c:ser>
          <c:idx val="3"/>
          <c:order val="3"/>
          <c:tx>
            <c:strRef>
              <c:f>Sheet13!$E$3</c:f>
              <c:strCache>
                <c:ptCount val="1"/>
                <c:pt idx="0">
                  <c:v>Sum of Cancelled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Sheet13!$A$4:$A$6</c:f>
              <c:strCache>
                <c:ptCount val="2"/>
                <c:pt idx="0">
                  <c:v>5</c:v>
                </c:pt>
                <c:pt idx="1">
                  <c:v>(blank)</c:v>
                </c:pt>
              </c:strCache>
            </c:strRef>
          </c:cat>
          <c:val>
            <c:numRef>
              <c:f>Sheet13!$E$4:$E$6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18-4841-9362-2D14EC580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7095312"/>
        <c:axId val="397096624"/>
      </c:barChart>
      <c:catAx>
        <c:axId val="39709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096624"/>
        <c:crosses val="autoZero"/>
        <c:auto val="1"/>
        <c:lblAlgn val="ctr"/>
        <c:lblOffset val="100"/>
        <c:noMultiLvlLbl val="0"/>
      </c:catAx>
      <c:valAx>
        <c:axId val="39709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09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</xdr:colOff>
      <xdr:row>4</xdr:row>
      <xdr:rowOff>4762</xdr:rowOff>
    </xdr:from>
    <xdr:to>
      <xdr:col>10</xdr:col>
      <xdr:colOff>590550</xdr:colOff>
      <xdr:row>21</xdr:row>
      <xdr:rowOff>147411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6671C3-365D-42E4-9444-DF0F898084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</xdr:colOff>
      <xdr:row>5</xdr:row>
      <xdr:rowOff>56696</xdr:rowOff>
    </xdr:from>
    <xdr:to>
      <xdr:col>17</xdr:col>
      <xdr:colOff>669019</xdr:colOff>
      <xdr:row>21</xdr:row>
      <xdr:rowOff>147411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26FC2F-0EA8-451A-BAD1-4C9A197C9E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5</xdr:row>
      <xdr:rowOff>34017</xdr:rowOff>
    </xdr:from>
    <xdr:to>
      <xdr:col>23</xdr:col>
      <xdr:colOff>841744</xdr:colOff>
      <xdr:row>21</xdr:row>
      <xdr:rowOff>136070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CF7C8D-DC87-4BEB-B79E-3A8FD1ACE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381000</xdr:colOff>
      <xdr:row>0</xdr:row>
      <xdr:rowOff>357186</xdr:rowOff>
    </xdr:from>
    <xdr:to>
      <xdr:col>6</xdr:col>
      <xdr:colOff>416718</xdr:colOff>
      <xdr:row>1</xdr:row>
      <xdr:rowOff>-1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FE47BA-486A-4488-A9D0-DDFB62EBFC33}"/>
            </a:ext>
          </a:extLst>
        </xdr:cNvPr>
        <xdr:cNvPicPr/>
      </xdr:nvPicPr>
      <xdr:blipFill>
        <a:blip xmlns:r="http://schemas.openxmlformats.org/officeDocument/2006/relationships" r:embed="rId1"/>
        <a:srcRect b="14286"/>
        <a:stretch>
          <a:fillRect/>
        </a:stretch>
      </xdr:blipFill>
      <xdr:spPr>
        <a:xfrm>
          <a:off x="4655344" y="357186"/>
          <a:ext cx="1559718" cy="762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35721</xdr:colOff>
      <xdr:row>0</xdr:row>
      <xdr:rowOff>11906</xdr:rowOff>
    </xdr:from>
    <xdr:to>
      <xdr:col>16</xdr:col>
      <xdr:colOff>71437</xdr:colOff>
      <xdr:row>12</xdr:row>
      <xdr:rowOff>238124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D95905-212E-4696-A45C-B8C81B8D2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33337</xdr:rowOff>
    </xdr:from>
    <xdr:to>
      <xdr:col>5</xdr:col>
      <xdr:colOff>209550</xdr:colOff>
      <xdr:row>20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6CF44A-F540-45E7-A4FA-A39BAB3690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547687</xdr:colOff>
      <xdr:row>4</xdr:row>
      <xdr:rowOff>33337</xdr:rowOff>
    </xdr:from>
    <xdr:to>
      <xdr:col>12</xdr:col>
      <xdr:colOff>319087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40FF18-5375-404A-B682-3E7DEA0B0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P/AppData/Local/Microsoft/Windows/INetCache/IE/8H5IQLL0/Dashboard_-_Office_of_the_County_Secretary_&amp;_Head_of_Public_Service_-_FINAL%5b1%5d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P/AppData/Local/Microsoft/Windows/INetCache/IE/8H5IQLL0/Dashboard_-_Office_of_the_County_Secretary_&amp;_Head_of_Public_Service_-_FINAL%5b1%5d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P/AppData/Local/Microsoft/Windows/INetCache/IE/8H5IQLL0/Dashboard_-_Office_of_the_County_Secretary_&amp;_Head_of_Public_Service_-_FINAL%5b1%5d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P/AppData/Local/Microsoft/Windows/INetCache/IE/8H5IQLL0/Dashboard_-_Office_of_the_County_Secretary_&amp;_Head_of_Public_Service_-_FINAL%5b1%5d.xlsx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-FLEXX-" refreshedDate="45808.516220833335" createdVersion="6" refreshedVersion="6" minRefreshableVersion="3" recordCount="1">
  <cacheSource type="worksheet">
    <worksheetSource ref="A6:K7" sheet="Dashboard" r:id="rId2"/>
  </cacheSource>
  <cacheFields count="11">
    <cacheField name="Total No. of Correspondences" numFmtId="0">
      <sharedItems containsSemiMixedTypes="0" containsString="0" containsNumber="1" containsInteger="1" minValue="12" maxValue="12" count="1">
        <n v="12"/>
      </sharedItems>
    </cacheField>
    <cacheField name="Emails " numFmtId="0">
      <sharedItems containsSemiMixedTypes="0" containsString="0" containsNumber="1" containsInteger="1" minValue="2" maxValue="2"/>
    </cacheField>
    <cacheField name="Phone" numFmtId="0">
      <sharedItems containsSemiMixedTypes="0" containsString="0" containsNumber="1" containsInteger="1" minValue="5" maxValue="5"/>
    </cacheField>
    <cacheField name="Letters" numFmtId="0">
      <sharedItems containsSemiMixedTypes="0" containsString="0" containsNumber="1" containsInteger="1" minValue="5" maxValue="5"/>
    </cacheField>
    <cacheField name="High Priority" numFmtId="0">
      <sharedItems containsSemiMixedTypes="0" containsString="0" containsNumber="1" containsInteger="1" minValue="6" maxValue="6"/>
    </cacheField>
    <cacheField name="Medium Priority" numFmtId="0">
      <sharedItems containsSemiMixedTypes="0" containsString="0" containsNumber="1" containsInteger="1" minValue="2" maxValue="2"/>
    </cacheField>
    <cacheField name="Low Priority" numFmtId="0">
      <sharedItems containsSemiMixedTypes="0" containsString="0" containsNumber="1" containsInteger="1" minValue="4" maxValue="4"/>
    </cacheField>
    <cacheField name="Average Response Time (Day/s)" numFmtId="1">
      <sharedItems containsSemiMixedTypes="0" containsString="0" containsNumber="1" minValue="2.7777777777777777" maxValue="2.7777777777777777"/>
    </cacheField>
    <cacheField name="Pending" numFmtId="0">
      <sharedItems containsSemiMixedTypes="0" containsString="0" containsNumber="1" containsInteger="1" minValue="3" maxValue="3"/>
    </cacheField>
    <cacheField name="In Progress" numFmtId="0">
      <sharedItems containsSemiMixedTypes="0" containsString="0" containsNumber="1" containsInteger="1" minValue="4" maxValue="4"/>
    </cacheField>
    <cacheField name="Closed" numFmtId="0">
      <sharedItems containsSemiMixedTypes="0" containsString="0" containsNumber="1" containsInteger="1" minValue="5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-FLEXX-" refreshedDate="45808.548177083336" createdVersion="6" refreshedVersion="6" minRefreshableVersion="3" recordCount="2">
  <cacheSource type="worksheet">
    <worksheetSource ref="A11:F13" sheet="Dashboard" r:id="rId2"/>
  </cacheSource>
  <cacheFields count="6">
    <cacheField name="Total No. of Documents Processed" numFmtId="0">
      <sharedItems containsString="0" containsBlank="1" containsNumber="1" containsInteger="1" minValue="5" maxValue="6" count="3">
        <m/>
        <n v="5"/>
        <n v="6" u="1"/>
      </sharedItems>
    </cacheField>
    <cacheField name="Draft" numFmtId="0">
      <sharedItems containsString="0" containsBlank="1" containsNumber="1" containsInteger="1" minValue="1" maxValue="1"/>
    </cacheField>
    <cacheField name="Review" numFmtId="0">
      <sharedItems containsString="0" containsBlank="1" containsNumber="1" containsInteger="1" minValue="1" maxValue="1"/>
    </cacheField>
    <cacheField name="Approved" numFmtId="0">
      <sharedItems containsString="0" containsBlank="1" containsNumber="1" containsInteger="1" minValue="1" maxValue="1"/>
    </cacheField>
    <cacheField name="Pending" numFmtId="0">
      <sharedItems containsString="0" containsBlank="1" containsNumber="1" containsInteger="1" minValue="1" maxValue="1"/>
    </cacheField>
    <cacheField name="Archived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-FLEXX-" refreshedDate="45808.548477777775" createdVersion="6" refreshedVersion="6" minRefreshableVersion="3" recordCount="1">
  <cacheSource type="worksheet">
    <worksheetSource ref="X4:AA5" sheet="Dashboard" r:id="rId2"/>
  </cacheSource>
  <cacheFields count="4">
    <cacheField name="SUMMARY OF KEY PERFORMANCE INDICATORS (KPIs)" numFmtId="0">
      <sharedItems containsSemiMixedTypes="0" containsString="0" containsNumber="1" containsInteger="1" minValue="3" maxValue="3" count="1">
        <n v="3"/>
      </sharedItems>
    </cacheField>
    <cacheField name="Total No. of Correspondences" numFmtId="0">
      <sharedItems containsSemiMixedTypes="0" containsString="0" containsNumber="1" containsInteger="1" minValue="12" maxValue="12"/>
    </cacheField>
    <cacheField name="Total No. of Documents Processed" numFmtId="0">
      <sharedItems containsSemiMixedTypes="0" containsString="0" containsNumber="1" containsInteger="1" minValue="5" maxValue="5"/>
    </cacheField>
    <cacheField name="Total No. of  Meetings" numFmtId="0">
      <sharedItems containsSemiMixedTypes="0" containsString="0" containsNumber="1" containsInteger="1" minValue="5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-FLEXX-" refreshedDate="45808.549983912038" createdVersion="6" refreshedVersion="6" minRefreshableVersion="3" recordCount="2">
  <cacheSource type="worksheet">
    <worksheetSource ref="G11:K13" sheet="Dashboard" r:id="rId2"/>
  </cacheSource>
  <cacheFields count="5">
    <cacheField name="Total No. of  Meetings" numFmtId="0">
      <sharedItems containsString="0" containsBlank="1" containsNumber="1" containsInteger="1" minValue="5" maxValue="5" count="2">
        <m/>
        <n v="5"/>
      </sharedItems>
    </cacheField>
    <cacheField name="Completed" numFmtId="0">
      <sharedItems containsString="0" containsBlank="1" containsNumber="1" containsInteger="1" minValue="2" maxValue="2"/>
    </cacheField>
    <cacheField name="Scheduled" numFmtId="0">
      <sharedItems containsString="0" containsBlank="1" containsNumber="1" containsInteger="1" minValue="1" maxValue="1"/>
    </cacheField>
    <cacheField name="Postponed" numFmtId="0">
      <sharedItems containsString="0" containsBlank="1" containsNumber="1" containsInteger="1" minValue="1" maxValue="1"/>
    </cacheField>
    <cacheField name="Cancelled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n v="2"/>
    <n v="5"/>
    <n v="5"/>
    <n v="6"/>
    <n v="2"/>
    <n v="4"/>
    <n v="2.7777777777777777"/>
    <n v="3"/>
    <n v="4"/>
    <n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m/>
    <m/>
    <m/>
    <m/>
    <m/>
  </r>
  <r>
    <x v="1"/>
    <n v="1"/>
    <n v="1"/>
    <n v="1"/>
    <n v="1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n v="12"/>
    <n v="5"/>
    <n v="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m/>
    <m/>
    <m/>
    <m/>
  </r>
  <r>
    <x v="1"/>
    <n v="2"/>
    <n v="1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2:K4" firstHeaderRow="0" firstDataRow="1" firstDataCol="1"/>
  <pivotFields count="11">
    <pivotField axis="axisRow" showAll="0">
      <items count="2"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numFmtId="1" showAll="0"/>
    <pivotField dataField="1" showAll="0"/>
    <pivotField dataField="1" showAll="0"/>
    <pivotField dataField="1" showAll="0"/>
  </pivotFields>
  <rowFields count="1">
    <field x="0"/>
  </rowFields>
  <rowItems count="2">
    <i>
      <x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Emails " fld="1" baseField="0" baseItem="0"/>
    <dataField name="Sum of Phone" fld="2" baseField="0" baseItem="0"/>
    <dataField name="Sum of Letters" fld="3" baseField="0" baseItem="0"/>
    <dataField name="Sum of Closed" fld="10" baseField="0" baseItem="0"/>
    <dataField name="Sum of Average Response Time (Day/s)" fld="7" baseField="0" baseItem="0" numFmtId="1"/>
    <dataField name="Sum of Medium Priority" fld="5" baseField="0" baseItem="0"/>
    <dataField name="Sum of Low Priority" fld="6" baseField="0" baseItem="0"/>
    <dataField name="Sum of High Priority" fld="4" baseField="0" baseItem="0"/>
    <dataField name="Sum of Pending" fld="8" baseField="0" baseItem="0"/>
    <dataField name="Sum of In Progress" fld="9" baseField="0" baseItem="0"/>
  </dataFields>
  <formats count="14">
    <format dxfId="46">
      <pivotArea type="all" dataOnly="0" outline="0" fieldPosition="0"/>
    </format>
    <format dxfId="45">
      <pivotArea outline="0" collapsedLevelsAreSubtotals="1" fieldPosition="0"/>
    </format>
    <format dxfId="44">
      <pivotArea dataOnly="0" labelOnly="1" grandRow="1" outline="0" fieldPosition="0"/>
    </format>
    <format dxfId="43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dataOnly="0" labelOnly="1" grandRow="1" outline="0" fieldPosition="0"/>
    </format>
    <format dxfId="39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38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37">
      <pivotArea outline="0" collapsedLevelsAreSubtotals="1" fieldPosition="0"/>
    </format>
    <format dxfId="36">
      <pivotArea dataOnly="0" fieldPosition="0">
        <references count="1">
          <reference field="0" count="0"/>
        </references>
      </pivotArea>
    </format>
    <format dxfId="35">
      <pivotArea field="0" type="button" dataOnly="0" labelOnly="1" outline="0" axis="axisRow" fieldPosition="0"/>
    </format>
    <format dxfId="34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33">
      <pivotArea dataOnly="0" fieldPosition="0">
        <references count="1">
          <reference field="0" count="0"/>
        </references>
      </pivotArea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7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T2:X5" firstHeaderRow="0" firstDataRow="1" firstDataCol="1"/>
  <pivotFields count="5">
    <pivotField axis="axisRow" showAll="0">
      <items count="3"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Completed" fld="1" baseField="0" baseItem="0"/>
    <dataField name="Sum of Scheduled" fld="2" baseField="0" baseItem="0"/>
    <dataField name="Sum of Postponed" fld="3" baseField="0" baseItem="0"/>
    <dataField name="Sum of Cancelled" fld="4" baseField="0" baseItem="0"/>
  </dataFields>
  <formats count="18"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0" type="button" dataOnly="0" labelOnly="1" outline="0" axis="axisRow" fieldPosition="0"/>
    </format>
    <format dxfId="61">
      <pivotArea dataOnly="0" labelOnly="1" fieldPosition="0">
        <references count="1">
          <reference field="0" count="0"/>
        </references>
      </pivotArea>
    </format>
    <format dxfId="60">
      <pivotArea dataOnly="0" labelOnly="1" grandRow="1" outline="0" fieldPosition="0"/>
    </format>
    <format dxfId="5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0" type="button" dataOnly="0" labelOnly="1" outline="0" axis="axisRow" fieldPosition="0"/>
    </format>
    <format dxfId="55">
      <pivotArea dataOnly="0" labelOnly="1" fieldPosition="0">
        <references count="1">
          <reference field="0" count="0"/>
        </references>
      </pivotArea>
    </format>
    <format dxfId="54">
      <pivotArea dataOnly="0" labelOnly="1" grandRow="1" outline="0" fieldPosition="0"/>
    </format>
    <format dxfId="5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0" type="button" dataOnly="0" labelOnly="1" outline="0" axis="axisRow" fieldPosition="0"/>
    </format>
    <format dxfId="49">
      <pivotArea dataOnly="0" labelOnly="1" fieldPosition="0">
        <references count="1">
          <reference field="0" count="0"/>
        </references>
      </pivotArea>
    </format>
    <format dxfId="48">
      <pivotArea dataOnly="0" labelOnly="1" grandRow="1" outline="0" fieldPosition="0"/>
    </format>
    <format dxfId="4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M2:R5" firstHeaderRow="0" firstDataRow="1" firstDataCol="1"/>
  <pivotFields count="6">
    <pivotField axis="axisRow" showAll="0">
      <items count="4">
        <item m="1" x="2"/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3"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Draft" fld="1" baseField="0" baseItem="0"/>
    <dataField name="Sum of Review" fld="2" baseField="0" baseItem="0"/>
    <dataField name="Sum of Approved" fld="3" baseField="0" baseItem="0"/>
    <dataField name="Sum of Pending" fld="4" baseField="0" baseItem="0"/>
    <dataField name="Sum of Archived" fld="5" baseField="0" baseItem="0"/>
  </dataFields>
  <formats count="18"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0" type="button" dataOnly="0" labelOnly="1" outline="0" axis="axisRow" fieldPosition="0"/>
    </format>
    <format dxfId="79">
      <pivotArea dataOnly="0" labelOnly="1" fieldPosition="0">
        <references count="1">
          <reference field="0" count="0"/>
        </references>
      </pivotArea>
    </format>
    <format dxfId="78">
      <pivotArea dataOnly="0" labelOnly="1" grandRow="1" outline="0" fieldPosition="0"/>
    </format>
    <format dxfId="7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76">
      <pivotArea type="all" dataOnly="0" outline="0" fieldPosition="0"/>
    </format>
    <format dxfId="75">
      <pivotArea outline="0" collapsedLevelsAreSubtotals="1" fieldPosition="0"/>
    </format>
    <format dxfId="74">
      <pivotArea field="0" type="button" dataOnly="0" labelOnly="1" outline="0" axis="axisRow" fieldPosition="0"/>
    </format>
    <format dxfId="73">
      <pivotArea dataOnly="0" labelOnly="1" fieldPosition="0">
        <references count="1">
          <reference field="0" count="0"/>
        </references>
      </pivotArea>
    </format>
    <format dxfId="72">
      <pivotArea dataOnly="0" labelOnly="1" grandRow="1" outline="0" fieldPosition="0"/>
    </format>
    <format dxfId="7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70">
      <pivotArea outline="0" collapsedLevelsAreSubtotals="1" fieldPosition="0"/>
    </format>
    <format dxfId="69">
      <pivotArea dataOnly="0" labelOnly="1" fieldPosition="0">
        <references count="1">
          <reference field="0" count="0"/>
        </references>
      </pivotArea>
    </format>
    <format dxfId="68">
      <pivotArea dataOnly="0" labelOnly="1" grandRow="1" outline="0" fieldPosition="0"/>
    </format>
    <format dxfId="67">
      <pivotArea dataOnly="0" fieldPosition="0">
        <references count="1">
          <reference field="0" count="1">
            <x v="0"/>
          </reference>
        </references>
      </pivotArea>
    </format>
    <format dxfId="66">
      <pivotArea field="0" type="button" dataOnly="0" labelOnly="1" outline="0" axis="axisRow" fieldPosition="0"/>
    </format>
    <format dxfId="6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1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P4:S6" firstHeaderRow="0" firstDataRow="1" firstDataCol="1"/>
  <pivotFields count="4">
    <pivotField axis="axisRow" showAll="0">
      <items count="2">
        <item x="0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No. of Correspondences" fld="1" baseField="0" baseItem="0"/>
    <dataField name="Sum of Total No. of Documents Processed" fld="2" baseField="0" baseItem="0"/>
    <dataField name="Sum of Total No. of  Meetings" fld="3" baseField="0" baseItem="0"/>
  </dataFields>
  <formats count="15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0" type="button" dataOnly="0" labelOnly="1" outline="0" axis="axisRow" fieldPosition="0"/>
    </format>
    <format dxfId="29">
      <pivotArea dataOnly="0" labelOnly="1" fieldPosition="0">
        <references count="1">
          <reference field="0" count="0"/>
        </references>
      </pivotArea>
    </format>
    <format dxfId="28">
      <pivotArea dataOnly="0" labelOnly="1" grandRow="1" outline="0" fieldPosition="0"/>
    </format>
    <format dxfId="2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0" type="button" dataOnly="0" labelOnly="1" outline="0" axis="axisRow" fieldPosition="0"/>
    </format>
    <format dxfId="23">
      <pivotArea dataOnly="0" labelOnly="1" fieldPosition="0">
        <references count="1">
          <reference field="0" count="0"/>
        </references>
      </pivotArea>
    </format>
    <format dxfId="22">
      <pivotArea dataOnly="0" labelOnly="1" grandRow="1" outline="0" fieldPosition="0"/>
    </format>
    <format dxfId="2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">
      <pivotArea field="0" type="button" dataOnly="0" labelOnly="1" outline="0" axis="axisRow" fieldPosition="0"/>
    </format>
    <format dxfId="1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chartFormats count="3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1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F6" firstHeaderRow="0" firstDataRow="1" firstDataCol="1"/>
  <pivotFields count="6">
    <pivotField axis="axisRow" showAll="0">
      <items count="4">
        <item m="1" x="2"/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3"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Draft" fld="1" baseField="0" baseItem="0"/>
    <dataField name="Sum of Review" fld="2" baseField="0" baseItem="0"/>
    <dataField name="Sum of Approved" fld="3" baseField="0" baseItem="0"/>
    <dataField name="Sum of Pending" fld="4" baseField="0" baseItem="0"/>
    <dataField name="Sum of Archived" fld="5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16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E6" firstHeaderRow="0" firstDataRow="1" firstDataCol="1"/>
  <pivotFields count="5">
    <pivotField axis="axisRow" showAll="0">
      <items count="3"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Completed" fld="1" baseField="0" baseItem="0"/>
    <dataField name="Sum of Scheduled" fld="2" baseField="0" baseItem="0"/>
    <dataField name="Sum of Postponed" fld="3" baseField="0" baseItem="0"/>
    <dataField name="Sum of Cancelled" fld="4" baseField="0" baseItem="0"/>
  </dataFields>
  <formats count="18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0" type="button" dataOnly="0" labelOnly="1" outline="0" axis="axisRow" fieldPosition="0"/>
    </format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247"/>
  <sheetViews>
    <sheetView view="pageBreakPreview" zoomScale="50" zoomScaleNormal="40" zoomScaleSheetLayoutView="50" workbookViewId="0">
      <selection activeCell="A2" sqref="A2:M2"/>
    </sheetView>
  </sheetViews>
  <sheetFormatPr defaultColWidth="9" defaultRowHeight="20.5" x14ac:dyDescent="0.35"/>
  <cols>
    <col min="1" max="2" width="16.6328125" style="7" customWidth="1"/>
    <col min="3" max="3" width="31.26953125" style="7" customWidth="1"/>
    <col min="4" max="4" width="24" style="7" customWidth="1"/>
    <col min="5" max="5" width="30.36328125" style="7" customWidth="1"/>
    <col min="6" max="6" width="21.08984375" style="7" customWidth="1"/>
    <col min="7" max="7" width="22.453125" style="7" customWidth="1"/>
    <col min="8" max="8" width="30.6328125" style="7" customWidth="1"/>
    <col min="9" max="9" width="31.90625" style="7" customWidth="1"/>
    <col min="10" max="10" width="32.7265625" style="7" customWidth="1"/>
    <col min="11" max="11" width="18.6328125" style="7" customWidth="1"/>
    <col min="12" max="12" width="20.7265625" style="7" customWidth="1"/>
    <col min="13" max="13" width="40.453125" style="7" customWidth="1"/>
    <col min="14" max="16384" width="9" style="7"/>
  </cols>
  <sheetData>
    <row r="1" spans="1:13" ht="60.75" customHeight="1" thickBot="1" x14ac:dyDescent="0.4">
      <c r="A1" s="96" t="s">
        <v>125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3" ht="85.5" customHeight="1" thickTop="1" thickBot="1" x14ac:dyDescent="0.4">
      <c r="A2" s="93" t="s">
        <v>45</v>
      </c>
      <c r="B2" s="93" t="s">
        <v>44</v>
      </c>
      <c r="C2" s="93" t="s">
        <v>52</v>
      </c>
      <c r="D2" s="93" t="s">
        <v>0</v>
      </c>
      <c r="E2" s="93" t="s">
        <v>40</v>
      </c>
      <c r="F2" s="93" t="s">
        <v>1</v>
      </c>
      <c r="G2" s="93" t="s">
        <v>2</v>
      </c>
      <c r="H2" s="93" t="s">
        <v>3</v>
      </c>
      <c r="I2" s="93" t="s">
        <v>41</v>
      </c>
      <c r="J2" s="93" t="s">
        <v>60</v>
      </c>
      <c r="K2" s="93" t="s">
        <v>4</v>
      </c>
      <c r="L2" s="93" t="s">
        <v>33</v>
      </c>
      <c r="M2" s="93" t="s">
        <v>51</v>
      </c>
    </row>
    <row r="3" spans="1:13" ht="41.5" thickTop="1" x14ac:dyDescent="0.35">
      <c r="A3" s="41">
        <f>DATE(2025, 5, 1)</f>
        <v>45778</v>
      </c>
      <c r="B3" s="43"/>
      <c r="C3" s="30" t="s">
        <v>31</v>
      </c>
      <c r="D3" s="31" t="s">
        <v>5</v>
      </c>
      <c r="E3" s="32" t="s">
        <v>6</v>
      </c>
      <c r="F3" s="33" t="s">
        <v>7</v>
      </c>
      <c r="G3" s="34" t="s">
        <v>8</v>
      </c>
      <c r="H3" s="35" t="s">
        <v>9</v>
      </c>
      <c r="I3" s="36" t="s">
        <v>10</v>
      </c>
      <c r="J3" s="37" t="s">
        <v>11</v>
      </c>
      <c r="K3" s="41">
        <f>DATE(2025, 5, 1)</f>
        <v>45778</v>
      </c>
      <c r="L3" s="38">
        <v>1</v>
      </c>
      <c r="M3" s="29" t="s">
        <v>59</v>
      </c>
    </row>
    <row r="4" spans="1:13" ht="41" x14ac:dyDescent="0.35">
      <c r="A4" s="42">
        <f>A3+1</f>
        <v>45779</v>
      </c>
      <c r="B4" s="42"/>
      <c r="C4" s="15" t="s">
        <v>31</v>
      </c>
      <c r="D4" s="17" t="s">
        <v>5</v>
      </c>
      <c r="E4" s="19" t="s">
        <v>6</v>
      </c>
      <c r="F4" s="21" t="s">
        <v>7</v>
      </c>
      <c r="G4" s="23" t="s">
        <v>8</v>
      </c>
      <c r="H4" s="25" t="s">
        <v>30</v>
      </c>
      <c r="I4" s="27" t="s">
        <v>10</v>
      </c>
      <c r="J4" s="9" t="s">
        <v>11</v>
      </c>
      <c r="K4" s="42">
        <f>K3+1</f>
        <v>45779</v>
      </c>
      <c r="L4" s="14">
        <v>1</v>
      </c>
      <c r="M4" s="29" t="s">
        <v>59</v>
      </c>
    </row>
    <row r="5" spans="1:13" x14ac:dyDescent="0.35">
      <c r="A5" s="42">
        <f>A4+1</f>
        <v>45780</v>
      </c>
      <c r="B5" s="42"/>
      <c r="C5" s="15"/>
      <c r="D5" s="17"/>
      <c r="E5" s="19"/>
      <c r="F5" s="21"/>
      <c r="G5" s="23"/>
      <c r="H5" s="25"/>
      <c r="I5" s="27"/>
      <c r="J5" s="9"/>
      <c r="K5" s="42"/>
      <c r="L5" s="14"/>
      <c r="M5" s="8"/>
    </row>
    <row r="6" spans="1:13" x14ac:dyDescent="0.35">
      <c r="A6" s="42">
        <f>A5+1</f>
        <v>45781</v>
      </c>
      <c r="B6" s="42"/>
      <c r="C6" s="15"/>
      <c r="D6" s="17"/>
      <c r="E6" s="19"/>
      <c r="F6" s="21"/>
      <c r="G6" s="23"/>
      <c r="H6" s="25"/>
      <c r="I6" s="27"/>
      <c r="J6" s="9"/>
      <c r="K6" s="42"/>
      <c r="L6" s="14"/>
      <c r="M6" s="8"/>
    </row>
    <row r="7" spans="1:13" ht="41" x14ac:dyDescent="0.35">
      <c r="A7" s="42">
        <f>A6+1</f>
        <v>45782</v>
      </c>
      <c r="B7" s="42"/>
      <c r="C7" s="15" t="s">
        <v>22</v>
      </c>
      <c r="D7" s="17" t="s">
        <v>5</v>
      </c>
      <c r="E7" s="19" t="s">
        <v>6</v>
      </c>
      <c r="F7" s="21" t="s">
        <v>7</v>
      </c>
      <c r="G7" s="23" t="s">
        <v>8</v>
      </c>
      <c r="H7" s="25" t="s">
        <v>9</v>
      </c>
      <c r="I7" s="27" t="s">
        <v>10</v>
      </c>
      <c r="J7" s="9" t="s">
        <v>11</v>
      </c>
      <c r="K7" s="42">
        <v>45782</v>
      </c>
      <c r="L7" s="14">
        <v>1</v>
      </c>
      <c r="M7" s="29" t="s">
        <v>59</v>
      </c>
    </row>
    <row r="8" spans="1:13" x14ac:dyDescent="0.35">
      <c r="A8" s="42">
        <f t="shared" ref="A8:A32" si="0">A7+1</f>
        <v>45783</v>
      </c>
      <c r="B8" s="42"/>
      <c r="C8" s="15" t="s">
        <v>32</v>
      </c>
      <c r="D8" s="17" t="s">
        <v>5</v>
      </c>
      <c r="E8" s="40">
        <v>254782068820</v>
      </c>
      <c r="F8" s="21" t="s">
        <v>42</v>
      </c>
      <c r="G8" s="23" t="s">
        <v>43</v>
      </c>
      <c r="H8" s="25" t="s">
        <v>30</v>
      </c>
      <c r="I8" s="27" t="s">
        <v>7</v>
      </c>
      <c r="J8" s="9" t="s">
        <v>11</v>
      </c>
      <c r="K8" s="42">
        <f t="shared" ref="K8" si="1">K7+1</f>
        <v>45783</v>
      </c>
      <c r="L8" s="14">
        <v>1</v>
      </c>
      <c r="M8" s="29" t="s">
        <v>59</v>
      </c>
    </row>
    <row r="9" spans="1:13" ht="41" x14ac:dyDescent="0.35">
      <c r="A9" s="42">
        <f t="shared" si="0"/>
        <v>45784</v>
      </c>
      <c r="B9" s="42"/>
      <c r="C9" s="15" t="s">
        <v>22</v>
      </c>
      <c r="D9" s="17" t="s">
        <v>12</v>
      </c>
      <c r="E9" s="19" t="s">
        <v>18</v>
      </c>
      <c r="F9" s="21" t="s">
        <v>19</v>
      </c>
      <c r="G9" s="23" t="s">
        <v>20</v>
      </c>
      <c r="H9" s="25" t="s">
        <v>29</v>
      </c>
      <c r="I9" s="27" t="s">
        <v>20</v>
      </c>
      <c r="J9" s="9" t="s">
        <v>21</v>
      </c>
      <c r="K9" s="42">
        <f>K8+6</f>
        <v>45789</v>
      </c>
      <c r="L9" s="14">
        <v>5</v>
      </c>
      <c r="M9" s="8"/>
    </row>
    <row r="10" spans="1:13" ht="41" x14ac:dyDescent="0.35">
      <c r="A10" s="42">
        <f t="shared" si="0"/>
        <v>45785</v>
      </c>
      <c r="B10" s="42"/>
      <c r="C10" s="15" t="s">
        <v>22</v>
      </c>
      <c r="D10" s="17" t="s">
        <v>12</v>
      </c>
      <c r="E10" s="19" t="s">
        <v>18</v>
      </c>
      <c r="F10" s="21" t="s">
        <v>19</v>
      </c>
      <c r="G10" s="23" t="s">
        <v>20</v>
      </c>
      <c r="H10" s="25" t="s">
        <v>9</v>
      </c>
      <c r="I10" s="27" t="s">
        <v>20</v>
      </c>
      <c r="J10" s="9" t="s">
        <v>13</v>
      </c>
      <c r="K10" s="42"/>
      <c r="L10" s="14"/>
      <c r="M10" s="8"/>
    </row>
    <row r="11" spans="1:13" ht="41" x14ac:dyDescent="0.35">
      <c r="A11" s="42">
        <f t="shared" si="0"/>
        <v>45786</v>
      </c>
      <c r="B11" s="42"/>
      <c r="C11" s="15" t="s">
        <v>22</v>
      </c>
      <c r="D11" s="17" t="s">
        <v>12</v>
      </c>
      <c r="E11" s="19" t="s">
        <v>18</v>
      </c>
      <c r="F11" s="21" t="s">
        <v>19</v>
      </c>
      <c r="G11" s="23" t="s">
        <v>20</v>
      </c>
      <c r="H11" s="25" t="s">
        <v>29</v>
      </c>
      <c r="I11" s="27" t="s">
        <v>20</v>
      </c>
      <c r="J11" s="9" t="s">
        <v>13</v>
      </c>
      <c r="K11" s="42"/>
      <c r="L11" s="14"/>
      <c r="M11" s="8"/>
    </row>
    <row r="12" spans="1:13" x14ac:dyDescent="0.35">
      <c r="A12" s="42">
        <f t="shared" si="0"/>
        <v>45787</v>
      </c>
      <c r="B12" s="42"/>
      <c r="C12" s="15"/>
      <c r="D12" s="17"/>
      <c r="E12" s="19"/>
      <c r="F12" s="21"/>
      <c r="G12" s="23"/>
      <c r="H12" s="25"/>
      <c r="I12" s="27"/>
      <c r="J12" s="9"/>
      <c r="K12" s="10"/>
      <c r="L12" s="14"/>
      <c r="M12" s="8"/>
    </row>
    <row r="13" spans="1:13" x14ac:dyDescent="0.35">
      <c r="A13" s="42">
        <f t="shared" si="0"/>
        <v>45788</v>
      </c>
      <c r="B13" s="42"/>
      <c r="C13" s="15"/>
      <c r="D13" s="17"/>
      <c r="E13" s="40"/>
      <c r="F13" s="21"/>
      <c r="G13" s="23"/>
      <c r="H13" s="25"/>
      <c r="I13" s="27"/>
      <c r="J13" s="9"/>
      <c r="K13" s="10"/>
      <c r="L13" s="14"/>
      <c r="M13" s="8"/>
    </row>
    <row r="14" spans="1:13" ht="41" x14ac:dyDescent="0.35">
      <c r="A14" s="42">
        <f t="shared" si="0"/>
        <v>45789</v>
      </c>
      <c r="B14" s="42"/>
      <c r="C14" s="15" t="s">
        <v>22</v>
      </c>
      <c r="D14" s="17" t="s">
        <v>12</v>
      </c>
      <c r="E14" s="19" t="s">
        <v>18</v>
      </c>
      <c r="F14" s="21" t="s">
        <v>19</v>
      </c>
      <c r="G14" s="23" t="s">
        <v>20</v>
      </c>
      <c r="H14" s="25" t="s">
        <v>9</v>
      </c>
      <c r="I14" s="27" t="s">
        <v>20</v>
      </c>
      <c r="J14" s="9" t="s">
        <v>13</v>
      </c>
      <c r="K14" s="42"/>
      <c r="L14" s="14"/>
      <c r="M14" s="8"/>
    </row>
    <row r="15" spans="1:13" x14ac:dyDescent="0.35">
      <c r="A15" s="42">
        <f t="shared" si="0"/>
        <v>45790</v>
      </c>
      <c r="B15" s="42"/>
      <c r="C15" s="15" t="s">
        <v>32</v>
      </c>
      <c r="D15" s="17" t="s">
        <v>17</v>
      </c>
      <c r="E15" s="40">
        <v>254782068820</v>
      </c>
      <c r="F15" s="21" t="s">
        <v>42</v>
      </c>
      <c r="G15" s="23" t="s">
        <v>43</v>
      </c>
      <c r="H15" s="25" t="s">
        <v>9</v>
      </c>
      <c r="I15" s="27" t="s">
        <v>7</v>
      </c>
      <c r="J15" s="9" t="s">
        <v>21</v>
      </c>
      <c r="K15" s="42">
        <v>45797</v>
      </c>
      <c r="L15" s="14">
        <v>6</v>
      </c>
      <c r="M15" s="8"/>
    </row>
    <row r="16" spans="1:13" x14ac:dyDescent="0.35">
      <c r="A16" s="42">
        <f t="shared" si="0"/>
        <v>45791</v>
      </c>
      <c r="B16" s="42"/>
      <c r="C16" s="15" t="s">
        <v>32</v>
      </c>
      <c r="D16" s="17" t="s">
        <v>17</v>
      </c>
      <c r="E16" s="40">
        <v>254782068820</v>
      </c>
      <c r="F16" s="21" t="s">
        <v>42</v>
      </c>
      <c r="G16" s="23" t="s">
        <v>43</v>
      </c>
      <c r="H16" s="25" t="s">
        <v>29</v>
      </c>
      <c r="I16" s="27" t="s">
        <v>7</v>
      </c>
      <c r="J16" s="9" t="s">
        <v>21</v>
      </c>
      <c r="K16" s="42">
        <v>45796</v>
      </c>
      <c r="L16" s="14">
        <v>4</v>
      </c>
      <c r="M16" s="8"/>
    </row>
    <row r="17" spans="1:13" x14ac:dyDescent="0.35">
      <c r="A17" s="42">
        <f t="shared" si="0"/>
        <v>45792</v>
      </c>
      <c r="B17" s="42"/>
      <c r="C17" s="15" t="s">
        <v>32</v>
      </c>
      <c r="D17" s="17" t="s">
        <v>17</v>
      </c>
      <c r="E17" s="40">
        <v>254782068820</v>
      </c>
      <c r="F17" s="21" t="s">
        <v>42</v>
      </c>
      <c r="G17" s="23" t="s">
        <v>43</v>
      </c>
      <c r="H17" s="25" t="s">
        <v>9</v>
      </c>
      <c r="I17" s="27" t="s">
        <v>7</v>
      </c>
      <c r="J17" s="9" t="s">
        <v>21</v>
      </c>
      <c r="K17" s="42">
        <f>K16+1</f>
        <v>45797</v>
      </c>
      <c r="L17" s="14">
        <v>3</v>
      </c>
      <c r="M17" s="8"/>
    </row>
    <row r="18" spans="1:13" x14ac:dyDescent="0.35">
      <c r="A18" s="42">
        <f t="shared" si="0"/>
        <v>45793</v>
      </c>
      <c r="B18" s="42"/>
      <c r="C18" s="15" t="s">
        <v>32</v>
      </c>
      <c r="D18" s="17" t="s">
        <v>17</v>
      </c>
      <c r="E18" s="40">
        <v>254782068820</v>
      </c>
      <c r="F18" s="21" t="s">
        <v>42</v>
      </c>
      <c r="G18" s="23" t="s">
        <v>43</v>
      </c>
      <c r="H18" s="25" t="s">
        <v>29</v>
      </c>
      <c r="I18" s="27" t="s">
        <v>7</v>
      </c>
      <c r="J18" s="9" t="s">
        <v>21</v>
      </c>
      <c r="K18" s="42">
        <f>K17+1</f>
        <v>45798</v>
      </c>
      <c r="L18" s="14">
        <v>3</v>
      </c>
      <c r="M18" s="8"/>
    </row>
    <row r="19" spans="1:13" x14ac:dyDescent="0.35">
      <c r="A19" s="42">
        <f t="shared" si="0"/>
        <v>45794</v>
      </c>
      <c r="B19" s="42"/>
      <c r="C19" s="16"/>
      <c r="D19" s="18"/>
      <c r="E19" s="20"/>
      <c r="F19" s="22"/>
      <c r="G19" s="24"/>
      <c r="H19" s="26"/>
      <c r="I19" s="28"/>
      <c r="J19" s="12"/>
      <c r="K19" s="13"/>
      <c r="L19" s="14"/>
      <c r="M19" s="11"/>
    </row>
    <row r="20" spans="1:13" x14ac:dyDescent="0.35">
      <c r="A20" s="42">
        <f t="shared" si="0"/>
        <v>45795</v>
      </c>
      <c r="B20" s="42"/>
      <c r="C20" s="16"/>
      <c r="D20" s="18"/>
      <c r="E20" s="20"/>
      <c r="F20" s="22"/>
      <c r="G20" s="24"/>
      <c r="H20" s="26"/>
      <c r="I20" s="28"/>
      <c r="J20" s="12"/>
      <c r="K20" s="13"/>
      <c r="L20" s="14"/>
      <c r="M20" s="9"/>
    </row>
    <row r="21" spans="1:13" x14ac:dyDescent="0.35">
      <c r="A21" s="42">
        <f t="shared" si="0"/>
        <v>45796</v>
      </c>
      <c r="B21" s="42"/>
      <c r="C21" s="16"/>
      <c r="D21" s="18"/>
      <c r="E21" s="20"/>
      <c r="F21" s="22"/>
      <c r="G21" s="24"/>
      <c r="H21" s="26"/>
      <c r="I21" s="28"/>
      <c r="J21" s="12"/>
      <c r="K21" s="13"/>
      <c r="L21" s="14"/>
      <c r="M21" s="11"/>
    </row>
    <row r="22" spans="1:13" x14ac:dyDescent="0.35">
      <c r="A22" s="42">
        <f t="shared" si="0"/>
        <v>45797</v>
      </c>
      <c r="B22" s="42"/>
      <c r="C22" s="16"/>
      <c r="D22" s="18"/>
      <c r="E22" s="20"/>
      <c r="F22" s="22"/>
      <c r="G22" s="24"/>
      <c r="H22" s="26"/>
      <c r="I22" s="28"/>
      <c r="J22" s="12"/>
      <c r="K22" s="13"/>
      <c r="L22" s="14"/>
      <c r="M22" s="11"/>
    </row>
    <row r="23" spans="1:13" x14ac:dyDescent="0.35">
      <c r="A23" s="42">
        <f t="shared" si="0"/>
        <v>45798</v>
      </c>
      <c r="B23" s="42"/>
      <c r="C23" s="16"/>
      <c r="D23" s="18"/>
      <c r="E23" s="20"/>
      <c r="F23" s="22"/>
      <c r="G23" s="24"/>
      <c r="H23" s="26"/>
      <c r="I23" s="28"/>
      <c r="J23" s="12"/>
      <c r="K23" s="13"/>
      <c r="L23" s="14"/>
      <c r="M23" s="11"/>
    </row>
    <row r="24" spans="1:13" x14ac:dyDescent="0.35">
      <c r="A24" s="42">
        <f t="shared" si="0"/>
        <v>45799</v>
      </c>
      <c r="B24" s="42"/>
      <c r="C24" s="16"/>
      <c r="D24" s="18"/>
      <c r="E24" s="20"/>
      <c r="F24" s="22"/>
      <c r="G24" s="24"/>
      <c r="H24" s="26"/>
      <c r="I24" s="28"/>
      <c r="J24" s="12"/>
      <c r="K24" s="13"/>
      <c r="L24" s="14"/>
      <c r="M24" s="11"/>
    </row>
    <row r="25" spans="1:13" x14ac:dyDescent="0.35">
      <c r="A25" s="42">
        <f t="shared" si="0"/>
        <v>45800</v>
      </c>
      <c r="B25" s="42"/>
      <c r="C25" s="16"/>
      <c r="D25" s="18"/>
      <c r="E25" s="20"/>
      <c r="F25" s="22"/>
      <c r="G25" s="24"/>
      <c r="H25" s="26"/>
      <c r="I25" s="28"/>
      <c r="J25" s="12"/>
      <c r="K25" s="13"/>
      <c r="L25" s="14"/>
      <c r="M25" s="11"/>
    </row>
    <row r="26" spans="1:13" x14ac:dyDescent="0.35">
      <c r="A26" s="42">
        <f t="shared" si="0"/>
        <v>45801</v>
      </c>
      <c r="B26" s="42"/>
      <c r="C26" s="16"/>
      <c r="D26" s="18"/>
      <c r="E26" s="20"/>
      <c r="F26" s="22"/>
      <c r="G26" s="24"/>
      <c r="H26" s="26"/>
      <c r="I26" s="28"/>
      <c r="J26" s="12"/>
      <c r="K26" s="13"/>
      <c r="L26" s="14"/>
      <c r="M26" s="11"/>
    </row>
    <row r="27" spans="1:13" x14ac:dyDescent="0.35">
      <c r="A27" s="42">
        <f t="shared" si="0"/>
        <v>45802</v>
      </c>
      <c r="B27" s="42"/>
      <c r="C27" s="16"/>
      <c r="D27" s="18"/>
      <c r="E27" s="20"/>
      <c r="F27" s="22"/>
      <c r="G27" s="24"/>
      <c r="H27" s="26"/>
      <c r="I27" s="28"/>
      <c r="J27" s="12"/>
      <c r="K27" s="13"/>
      <c r="L27" s="14"/>
      <c r="M27" s="11"/>
    </row>
    <row r="28" spans="1:13" x14ac:dyDescent="0.35">
      <c r="A28" s="42">
        <f t="shared" si="0"/>
        <v>45803</v>
      </c>
      <c r="B28" s="42"/>
      <c r="C28" s="16"/>
      <c r="D28" s="18"/>
      <c r="E28" s="20"/>
      <c r="F28" s="22"/>
      <c r="G28" s="24"/>
      <c r="H28" s="26"/>
      <c r="I28" s="28"/>
      <c r="J28" s="12"/>
      <c r="K28" s="13"/>
      <c r="L28" s="14"/>
      <c r="M28" s="11"/>
    </row>
    <row r="29" spans="1:13" x14ac:dyDescent="0.35">
      <c r="A29" s="42">
        <f t="shared" si="0"/>
        <v>45804</v>
      </c>
      <c r="B29" s="42"/>
      <c r="C29" s="16"/>
      <c r="D29" s="18"/>
      <c r="E29" s="20"/>
      <c r="F29" s="22"/>
      <c r="G29" s="24"/>
      <c r="H29" s="26"/>
      <c r="I29" s="28"/>
      <c r="J29" s="12"/>
      <c r="K29" s="13"/>
      <c r="L29" s="14"/>
      <c r="M29" s="11"/>
    </row>
    <row r="30" spans="1:13" x14ac:dyDescent="0.35">
      <c r="A30" s="42">
        <f t="shared" si="0"/>
        <v>45805</v>
      </c>
      <c r="B30" s="42"/>
      <c r="C30" s="16"/>
      <c r="D30" s="18"/>
      <c r="E30" s="20"/>
      <c r="F30" s="22"/>
      <c r="G30" s="24"/>
      <c r="H30" s="26"/>
      <c r="I30" s="28"/>
      <c r="J30" s="12"/>
      <c r="K30" s="13"/>
      <c r="L30" s="14"/>
      <c r="M30" s="11"/>
    </row>
    <row r="31" spans="1:13" x14ac:dyDescent="0.35">
      <c r="A31" s="42">
        <f t="shared" si="0"/>
        <v>45806</v>
      </c>
      <c r="B31" s="42"/>
      <c r="C31" s="16"/>
      <c r="D31" s="18"/>
      <c r="E31" s="20"/>
      <c r="F31" s="22"/>
      <c r="G31" s="24"/>
      <c r="H31" s="26"/>
      <c r="I31" s="28"/>
      <c r="J31" s="12"/>
      <c r="K31" s="13"/>
      <c r="L31" s="14"/>
      <c r="M31" s="11"/>
    </row>
    <row r="32" spans="1:13" x14ac:dyDescent="0.35">
      <c r="A32" s="42">
        <f t="shared" si="0"/>
        <v>45807</v>
      </c>
      <c r="B32" s="42"/>
      <c r="C32" s="16"/>
      <c r="D32" s="18"/>
      <c r="E32" s="20"/>
      <c r="F32" s="22"/>
      <c r="G32" s="24"/>
      <c r="H32" s="26"/>
      <c r="I32" s="28"/>
      <c r="J32" s="12"/>
      <c r="K32" s="13"/>
      <c r="L32" s="14"/>
      <c r="M32" s="11"/>
    </row>
    <row r="33" spans="1:13" x14ac:dyDescent="0.35">
      <c r="A33" s="42">
        <f>A32+1</f>
        <v>45808</v>
      </c>
      <c r="B33" s="42"/>
      <c r="C33" s="16"/>
      <c r="D33" s="18"/>
      <c r="E33" s="20"/>
      <c r="F33" s="22"/>
      <c r="G33" s="24"/>
      <c r="H33" s="26"/>
      <c r="I33" s="28"/>
      <c r="J33" s="12"/>
      <c r="K33" s="13"/>
      <c r="L33" s="14"/>
      <c r="M33" s="11"/>
    </row>
    <row r="34" spans="1:13" x14ac:dyDescent="0.35">
      <c r="A34" s="87">
        <f t="shared" ref="A34:A97" si="2">A33+1</f>
        <v>45809</v>
      </c>
      <c r="B34" s="42"/>
      <c r="C34" s="16"/>
      <c r="D34" s="18"/>
      <c r="E34" s="20"/>
      <c r="F34" s="22"/>
      <c r="G34" s="24"/>
      <c r="H34" s="26"/>
      <c r="I34" s="28"/>
      <c r="J34" s="12"/>
      <c r="K34" s="13"/>
      <c r="L34" s="14"/>
      <c r="M34" s="11"/>
    </row>
    <row r="35" spans="1:13" x14ac:dyDescent="0.35">
      <c r="A35" s="42">
        <f t="shared" si="2"/>
        <v>45810</v>
      </c>
      <c r="B35" s="42"/>
      <c r="C35" s="16"/>
      <c r="D35" s="18"/>
      <c r="E35" s="20"/>
      <c r="F35" s="22"/>
      <c r="G35" s="24"/>
      <c r="H35" s="26"/>
      <c r="I35" s="28"/>
      <c r="J35" s="12"/>
      <c r="K35" s="13"/>
      <c r="L35" s="14"/>
      <c r="M35" s="11"/>
    </row>
    <row r="36" spans="1:13" x14ac:dyDescent="0.35">
      <c r="A36" s="42">
        <f t="shared" si="2"/>
        <v>45811</v>
      </c>
      <c r="B36" s="42"/>
      <c r="C36" s="16"/>
      <c r="D36" s="18"/>
      <c r="E36" s="20"/>
      <c r="F36" s="22"/>
      <c r="G36" s="24"/>
      <c r="H36" s="26"/>
      <c r="I36" s="28"/>
      <c r="J36" s="12"/>
      <c r="K36" s="13"/>
      <c r="L36" s="14"/>
      <c r="M36" s="11"/>
    </row>
    <row r="37" spans="1:13" x14ac:dyDescent="0.35">
      <c r="A37" s="42">
        <f t="shared" si="2"/>
        <v>45812</v>
      </c>
      <c r="B37" s="42"/>
      <c r="C37" s="16"/>
      <c r="D37" s="18"/>
      <c r="E37" s="20"/>
      <c r="F37" s="22"/>
      <c r="G37" s="24"/>
      <c r="H37" s="26"/>
      <c r="I37" s="28"/>
      <c r="J37" s="12"/>
      <c r="K37" s="13"/>
      <c r="L37" s="14"/>
      <c r="M37" s="11"/>
    </row>
    <row r="38" spans="1:13" x14ac:dyDescent="0.35">
      <c r="A38" s="42">
        <f t="shared" si="2"/>
        <v>45813</v>
      </c>
      <c r="B38" s="42"/>
      <c r="C38" s="16"/>
      <c r="D38" s="18"/>
      <c r="E38" s="20"/>
      <c r="F38" s="22"/>
      <c r="G38" s="24"/>
      <c r="H38" s="26"/>
      <c r="I38" s="28"/>
      <c r="J38" s="12"/>
      <c r="K38" s="13"/>
      <c r="L38" s="14"/>
      <c r="M38" s="11"/>
    </row>
    <row r="39" spans="1:13" x14ac:dyDescent="0.35">
      <c r="A39" s="42">
        <f t="shared" si="2"/>
        <v>45814</v>
      </c>
      <c r="B39" s="42"/>
      <c r="C39" s="16"/>
      <c r="D39" s="18"/>
      <c r="E39" s="20"/>
      <c r="F39" s="22"/>
      <c r="G39" s="24"/>
      <c r="H39" s="26"/>
      <c r="I39" s="28"/>
      <c r="J39" s="12"/>
      <c r="K39" s="13"/>
      <c r="L39" s="14"/>
      <c r="M39" s="11"/>
    </row>
    <row r="40" spans="1:13" x14ac:dyDescent="0.35">
      <c r="A40" s="42">
        <f t="shared" si="2"/>
        <v>45815</v>
      </c>
      <c r="B40" s="42"/>
      <c r="C40" s="16"/>
      <c r="D40" s="18"/>
      <c r="E40" s="20"/>
      <c r="F40" s="22"/>
      <c r="G40" s="24"/>
      <c r="H40" s="26"/>
      <c r="I40" s="28"/>
      <c r="J40" s="12"/>
      <c r="K40" s="13"/>
      <c r="L40" s="14"/>
      <c r="M40" s="11"/>
    </row>
    <row r="41" spans="1:13" x14ac:dyDescent="0.35">
      <c r="A41" s="42">
        <f t="shared" si="2"/>
        <v>45816</v>
      </c>
      <c r="B41" s="42"/>
      <c r="C41" s="16"/>
      <c r="D41" s="18"/>
      <c r="E41" s="20"/>
      <c r="F41" s="22"/>
      <c r="G41" s="24"/>
      <c r="H41" s="26"/>
      <c r="I41" s="28"/>
      <c r="J41" s="12"/>
      <c r="K41" s="13"/>
      <c r="L41" s="14"/>
      <c r="M41" s="11"/>
    </row>
    <row r="42" spans="1:13" x14ac:dyDescent="0.35">
      <c r="A42" s="42">
        <f t="shared" si="2"/>
        <v>45817</v>
      </c>
      <c r="B42" s="42"/>
      <c r="C42" s="16"/>
      <c r="D42" s="18"/>
      <c r="E42" s="20"/>
      <c r="F42" s="22"/>
      <c r="G42" s="24"/>
      <c r="H42" s="26"/>
      <c r="I42" s="28"/>
      <c r="J42" s="12"/>
      <c r="K42" s="13"/>
      <c r="L42" s="14"/>
      <c r="M42" s="11"/>
    </row>
    <row r="43" spans="1:13" x14ac:dyDescent="0.35">
      <c r="A43" s="42">
        <f t="shared" si="2"/>
        <v>45818</v>
      </c>
      <c r="B43" s="42"/>
      <c r="C43" s="16"/>
      <c r="D43" s="18"/>
      <c r="E43" s="20"/>
      <c r="F43" s="22"/>
      <c r="G43" s="24"/>
      <c r="H43" s="26"/>
      <c r="I43" s="28"/>
      <c r="J43" s="12"/>
      <c r="K43" s="13"/>
      <c r="L43" s="14"/>
      <c r="M43" s="11"/>
    </row>
    <row r="44" spans="1:13" x14ac:dyDescent="0.35">
      <c r="A44" s="42">
        <f t="shared" si="2"/>
        <v>45819</v>
      </c>
      <c r="B44" s="42"/>
      <c r="C44" s="16"/>
      <c r="D44" s="18"/>
      <c r="E44" s="20"/>
      <c r="F44" s="22"/>
      <c r="G44" s="24"/>
      <c r="H44" s="26"/>
      <c r="I44" s="28"/>
      <c r="J44" s="12"/>
      <c r="K44" s="13"/>
      <c r="L44" s="14"/>
      <c r="M44" s="11"/>
    </row>
    <row r="45" spans="1:13" x14ac:dyDescent="0.35">
      <c r="A45" s="42">
        <f t="shared" si="2"/>
        <v>45820</v>
      </c>
      <c r="B45" s="42"/>
      <c r="C45" s="16"/>
      <c r="D45" s="18"/>
      <c r="E45" s="20"/>
      <c r="F45" s="22"/>
      <c r="G45" s="24"/>
      <c r="H45" s="26"/>
      <c r="I45" s="28"/>
      <c r="J45" s="12"/>
      <c r="K45" s="13"/>
      <c r="L45" s="14"/>
      <c r="M45" s="11"/>
    </row>
    <row r="46" spans="1:13" x14ac:dyDescent="0.35">
      <c r="A46" s="42">
        <f t="shared" si="2"/>
        <v>45821</v>
      </c>
      <c r="B46" s="42"/>
      <c r="C46" s="16"/>
      <c r="D46" s="18"/>
      <c r="E46" s="20"/>
      <c r="F46" s="22"/>
      <c r="G46" s="24"/>
      <c r="H46" s="26"/>
      <c r="I46" s="28"/>
      <c r="J46" s="12"/>
      <c r="K46" s="13"/>
      <c r="L46" s="14"/>
      <c r="M46" s="11"/>
    </row>
    <row r="47" spans="1:13" x14ac:dyDescent="0.35">
      <c r="A47" s="42">
        <f t="shared" si="2"/>
        <v>45822</v>
      </c>
      <c r="B47" s="42"/>
      <c r="C47" s="16"/>
      <c r="D47" s="18"/>
      <c r="E47" s="20"/>
      <c r="F47" s="22"/>
      <c r="G47" s="24"/>
      <c r="H47" s="26"/>
      <c r="I47" s="28"/>
      <c r="J47" s="12"/>
      <c r="K47" s="13"/>
      <c r="L47" s="14"/>
      <c r="M47" s="11"/>
    </row>
    <row r="48" spans="1:13" x14ac:dyDescent="0.35">
      <c r="A48" s="42">
        <f t="shared" si="2"/>
        <v>45823</v>
      </c>
      <c r="B48" s="42"/>
      <c r="C48" s="16"/>
      <c r="D48" s="18"/>
      <c r="E48" s="20"/>
      <c r="F48" s="22"/>
      <c r="G48" s="24"/>
      <c r="H48" s="26"/>
      <c r="I48" s="28"/>
      <c r="J48" s="12"/>
      <c r="K48" s="13"/>
      <c r="L48" s="14"/>
      <c r="M48" s="11"/>
    </row>
    <row r="49" spans="1:13" x14ac:dyDescent="0.35">
      <c r="A49" s="42">
        <f t="shared" si="2"/>
        <v>45824</v>
      </c>
      <c r="B49" s="42"/>
      <c r="C49" s="16"/>
      <c r="D49" s="18"/>
      <c r="E49" s="20"/>
      <c r="F49" s="22"/>
      <c r="G49" s="24"/>
      <c r="H49" s="26"/>
      <c r="I49" s="28"/>
      <c r="J49" s="12"/>
      <c r="K49" s="13"/>
      <c r="L49" s="14"/>
      <c r="M49" s="11"/>
    </row>
    <row r="50" spans="1:13" x14ac:dyDescent="0.35">
      <c r="A50" s="42">
        <f t="shared" si="2"/>
        <v>45825</v>
      </c>
      <c r="B50" s="42"/>
      <c r="C50" s="16"/>
      <c r="D50" s="18"/>
      <c r="E50" s="20"/>
      <c r="F50" s="22"/>
      <c r="G50" s="24"/>
      <c r="H50" s="26"/>
      <c r="I50" s="28"/>
      <c r="J50" s="12"/>
      <c r="K50" s="13"/>
      <c r="L50" s="14"/>
      <c r="M50" s="11"/>
    </row>
    <row r="51" spans="1:13" x14ac:dyDescent="0.35">
      <c r="A51" s="42">
        <f t="shared" si="2"/>
        <v>45826</v>
      </c>
      <c r="B51" s="42"/>
      <c r="C51" s="16"/>
      <c r="D51" s="18"/>
      <c r="E51" s="20"/>
      <c r="F51" s="22"/>
      <c r="G51" s="24"/>
      <c r="H51" s="26"/>
      <c r="I51" s="28"/>
      <c r="J51" s="12"/>
      <c r="K51" s="13"/>
      <c r="L51" s="14"/>
      <c r="M51" s="11"/>
    </row>
    <row r="52" spans="1:13" x14ac:dyDescent="0.35">
      <c r="A52" s="42">
        <f t="shared" si="2"/>
        <v>45827</v>
      </c>
      <c r="B52" s="42"/>
      <c r="C52" s="16"/>
      <c r="D52" s="18"/>
      <c r="E52" s="20"/>
      <c r="F52" s="22"/>
      <c r="G52" s="24"/>
      <c r="H52" s="26"/>
      <c r="I52" s="28"/>
      <c r="J52" s="12"/>
      <c r="K52" s="13"/>
      <c r="L52" s="14"/>
      <c r="M52" s="11"/>
    </row>
    <row r="53" spans="1:13" x14ac:dyDescent="0.35">
      <c r="A53" s="42">
        <f t="shared" si="2"/>
        <v>45828</v>
      </c>
      <c r="B53" s="42"/>
      <c r="C53" s="16"/>
      <c r="D53" s="18"/>
      <c r="E53" s="20"/>
      <c r="F53" s="22"/>
      <c r="G53" s="24"/>
      <c r="H53" s="26"/>
      <c r="I53" s="28"/>
      <c r="J53" s="12"/>
      <c r="K53" s="13"/>
      <c r="L53" s="14"/>
      <c r="M53" s="11"/>
    </row>
    <row r="54" spans="1:13" x14ac:dyDescent="0.35">
      <c r="A54" s="42">
        <f t="shared" si="2"/>
        <v>45829</v>
      </c>
      <c r="B54" s="42"/>
      <c r="C54" s="16"/>
      <c r="D54" s="18"/>
      <c r="E54" s="20"/>
      <c r="F54" s="22"/>
      <c r="G54" s="24"/>
      <c r="H54" s="26"/>
      <c r="I54" s="28"/>
      <c r="J54" s="12"/>
      <c r="K54" s="13"/>
      <c r="L54" s="14"/>
      <c r="M54" s="11"/>
    </row>
    <row r="55" spans="1:13" x14ac:dyDescent="0.35">
      <c r="A55" s="42">
        <f t="shared" si="2"/>
        <v>45830</v>
      </c>
      <c r="B55" s="42"/>
      <c r="C55" s="16"/>
      <c r="D55" s="18"/>
      <c r="E55" s="20"/>
      <c r="F55" s="22"/>
      <c r="G55" s="24"/>
      <c r="H55" s="26"/>
      <c r="I55" s="28"/>
      <c r="J55" s="12"/>
      <c r="K55" s="13"/>
      <c r="L55" s="14"/>
      <c r="M55" s="11"/>
    </row>
    <row r="56" spans="1:13" x14ac:dyDescent="0.35">
      <c r="A56" s="42">
        <f t="shared" si="2"/>
        <v>45831</v>
      </c>
      <c r="B56" s="42"/>
      <c r="C56" s="16"/>
      <c r="D56" s="18"/>
      <c r="E56" s="20"/>
      <c r="F56" s="22"/>
      <c r="G56" s="24"/>
      <c r="H56" s="26"/>
      <c r="I56" s="28"/>
      <c r="J56" s="12"/>
      <c r="K56" s="13"/>
      <c r="L56" s="14"/>
      <c r="M56" s="11"/>
    </row>
    <row r="57" spans="1:13" x14ac:dyDescent="0.35">
      <c r="A57" s="42">
        <f t="shared" si="2"/>
        <v>45832</v>
      </c>
      <c r="B57" s="42"/>
      <c r="C57" s="16"/>
      <c r="D57" s="18"/>
      <c r="E57" s="20"/>
      <c r="F57" s="22"/>
      <c r="G57" s="24"/>
      <c r="H57" s="26"/>
      <c r="I57" s="28"/>
      <c r="J57" s="12"/>
      <c r="K57" s="13"/>
      <c r="L57" s="14"/>
      <c r="M57" s="11"/>
    </row>
    <row r="58" spans="1:13" x14ac:dyDescent="0.35">
      <c r="A58" s="42">
        <f t="shared" si="2"/>
        <v>45833</v>
      </c>
      <c r="B58" s="42"/>
      <c r="C58" s="16"/>
      <c r="D58" s="18"/>
      <c r="E58" s="20"/>
      <c r="F58" s="22"/>
      <c r="G58" s="24"/>
      <c r="H58" s="26"/>
      <c r="I58" s="28"/>
      <c r="J58" s="12"/>
      <c r="K58" s="13"/>
      <c r="L58" s="14"/>
      <c r="M58" s="11"/>
    </row>
    <row r="59" spans="1:13" x14ac:dyDescent="0.35">
      <c r="A59" s="42">
        <f t="shared" si="2"/>
        <v>45834</v>
      </c>
      <c r="B59" s="42"/>
      <c r="C59" s="16"/>
      <c r="D59" s="18"/>
      <c r="E59" s="20"/>
      <c r="F59" s="22"/>
      <c r="G59" s="24"/>
      <c r="H59" s="26"/>
      <c r="I59" s="28"/>
      <c r="J59" s="12"/>
      <c r="K59" s="13"/>
      <c r="L59" s="14"/>
      <c r="M59" s="11"/>
    </row>
    <row r="60" spans="1:13" x14ac:dyDescent="0.35">
      <c r="A60" s="42">
        <f t="shared" si="2"/>
        <v>45835</v>
      </c>
      <c r="B60" s="42"/>
      <c r="C60" s="16"/>
      <c r="D60" s="18"/>
      <c r="E60" s="20"/>
      <c r="F60" s="22"/>
      <c r="G60" s="24"/>
      <c r="H60" s="26"/>
      <c r="I60" s="28"/>
      <c r="J60" s="12"/>
      <c r="K60" s="13"/>
      <c r="L60" s="14"/>
      <c r="M60" s="11"/>
    </row>
    <row r="61" spans="1:13" x14ac:dyDescent="0.35">
      <c r="A61" s="42">
        <f t="shared" si="2"/>
        <v>45836</v>
      </c>
      <c r="B61" s="42"/>
      <c r="C61" s="16"/>
      <c r="D61" s="18"/>
      <c r="E61" s="20"/>
      <c r="F61" s="22"/>
      <c r="G61" s="24"/>
      <c r="H61" s="26"/>
      <c r="I61" s="28"/>
      <c r="J61" s="12"/>
      <c r="K61" s="13"/>
      <c r="L61" s="14"/>
      <c r="M61" s="11"/>
    </row>
    <row r="62" spans="1:13" x14ac:dyDescent="0.35">
      <c r="A62" s="42">
        <f t="shared" si="2"/>
        <v>45837</v>
      </c>
      <c r="B62" s="42"/>
      <c r="C62" s="16"/>
      <c r="D62" s="18"/>
      <c r="E62" s="20"/>
      <c r="F62" s="22"/>
      <c r="G62" s="24"/>
      <c r="H62" s="26"/>
      <c r="I62" s="28"/>
      <c r="J62" s="12"/>
      <c r="K62" s="13"/>
      <c r="L62" s="14"/>
      <c r="M62" s="11"/>
    </row>
    <row r="63" spans="1:13" x14ac:dyDescent="0.35">
      <c r="A63" s="42">
        <f t="shared" si="2"/>
        <v>45838</v>
      </c>
      <c r="B63" s="42"/>
      <c r="C63" s="16"/>
      <c r="D63" s="18"/>
      <c r="E63" s="20"/>
      <c r="F63" s="22"/>
      <c r="G63" s="24"/>
      <c r="H63" s="26"/>
      <c r="I63" s="28"/>
      <c r="J63" s="12"/>
      <c r="K63" s="13"/>
      <c r="L63" s="14"/>
      <c r="M63" s="11"/>
    </row>
    <row r="64" spans="1:13" x14ac:dyDescent="0.35">
      <c r="A64" s="42">
        <f t="shared" si="2"/>
        <v>45839</v>
      </c>
      <c r="B64" s="42"/>
      <c r="C64" s="16"/>
      <c r="D64" s="18"/>
      <c r="E64" s="20"/>
      <c r="F64" s="22"/>
      <c r="G64" s="24"/>
      <c r="H64" s="26"/>
      <c r="I64" s="28"/>
      <c r="J64" s="12"/>
      <c r="K64" s="13"/>
      <c r="L64" s="14"/>
      <c r="M64" s="11"/>
    </row>
    <row r="65" spans="1:13" x14ac:dyDescent="0.35">
      <c r="A65" s="42">
        <f t="shared" si="2"/>
        <v>45840</v>
      </c>
      <c r="B65" s="42"/>
      <c r="C65" s="16"/>
      <c r="D65" s="18"/>
      <c r="E65" s="20"/>
      <c r="F65" s="22"/>
      <c r="G65" s="24"/>
      <c r="H65" s="26"/>
      <c r="I65" s="28"/>
      <c r="J65" s="12"/>
      <c r="K65" s="13"/>
      <c r="L65" s="14"/>
      <c r="M65" s="11"/>
    </row>
    <row r="66" spans="1:13" x14ac:dyDescent="0.35">
      <c r="A66" s="42">
        <f t="shared" si="2"/>
        <v>45841</v>
      </c>
      <c r="B66" s="42"/>
      <c r="C66" s="16"/>
      <c r="D66" s="18"/>
      <c r="E66" s="20"/>
      <c r="F66" s="22"/>
      <c r="G66" s="24"/>
      <c r="H66" s="26"/>
      <c r="I66" s="28"/>
      <c r="J66" s="12"/>
      <c r="K66" s="13"/>
      <c r="L66" s="14"/>
      <c r="M66" s="11"/>
    </row>
    <row r="67" spans="1:13" x14ac:dyDescent="0.35">
      <c r="A67" s="42">
        <f t="shared" si="2"/>
        <v>45842</v>
      </c>
      <c r="B67" s="42"/>
      <c r="C67" s="16"/>
      <c r="D67" s="18"/>
      <c r="E67" s="20"/>
      <c r="F67" s="22"/>
      <c r="G67" s="24"/>
      <c r="H67" s="26"/>
      <c r="I67" s="28"/>
      <c r="J67" s="12"/>
      <c r="K67" s="13"/>
      <c r="L67" s="14"/>
      <c r="M67" s="11"/>
    </row>
    <row r="68" spans="1:13" x14ac:dyDescent="0.35">
      <c r="A68" s="42">
        <f t="shared" si="2"/>
        <v>45843</v>
      </c>
      <c r="B68" s="42"/>
      <c r="C68" s="16"/>
      <c r="D68" s="18"/>
      <c r="E68" s="20"/>
      <c r="F68" s="22"/>
      <c r="G68" s="24"/>
      <c r="H68" s="26"/>
      <c r="I68" s="28"/>
      <c r="J68" s="12"/>
      <c r="K68" s="13"/>
      <c r="L68" s="14"/>
      <c r="M68" s="11"/>
    </row>
    <row r="69" spans="1:13" x14ac:dyDescent="0.35">
      <c r="A69" s="42">
        <f t="shared" si="2"/>
        <v>45844</v>
      </c>
      <c r="B69" s="42"/>
      <c r="C69" s="16"/>
      <c r="D69" s="18"/>
      <c r="E69" s="20"/>
      <c r="F69" s="22"/>
      <c r="G69" s="24"/>
      <c r="H69" s="26"/>
      <c r="I69" s="28"/>
      <c r="J69" s="12"/>
      <c r="K69" s="13"/>
      <c r="L69" s="14"/>
      <c r="M69" s="11"/>
    </row>
    <row r="70" spans="1:13" x14ac:dyDescent="0.35">
      <c r="A70" s="42">
        <f t="shared" si="2"/>
        <v>45845</v>
      </c>
      <c r="B70" s="42"/>
      <c r="C70" s="16"/>
      <c r="D70" s="18"/>
      <c r="E70" s="20"/>
      <c r="F70" s="22"/>
      <c r="G70" s="24"/>
      <c r="H70" s="26"/>
      <c r="I70" s="28"/>
      <c r="J70" s="12"/>
      <c r="K70" s="13"/>
      <c r="L70" s="14"/>
      <c r="M70" s="11"/>
    </row>
    <row r="71" spans="1:13" x14ac:dyDescent="0.35">
      <c r="A71" s="42">
        <f t="shared" si="2"/>
        <v>45846</v>
      </c>
      <c r="B71" s="42"/>
      <c r="C71" s="16"/>
      <c r="D71" s="18"/>
      <c r="E71" s="20"/>
      <c r="F71" s="22"/>
      <c r="G71" s="24"/>
      <c r="H71" s="26"/>
      <c r="I71" s="28"/>
      <c r="J71" s="12"/>
      <c r="K71" s="13"/>
      <c r="L71" s="14"/>
      <c r="M71" s="11"/>
    </row>
    <row r="72" spans="1:13" x14ac:dyDescent="0.35">
      <c r="A72" s="42">
        <f t="shared" si="2"/>
        <v>45847</v>
      </c>
      <c r="B72" s="42"/>
      <c r="C72" s="16"/>
      <c r="D72" s="18"/>
      <c r="E72" s="20"/>
      <c r="F72" s="22"/>
      <c r="G72" s="24"/>
      <c r="H72" s="26"/>
      <c r="I72" s="28"/>
      <c r="J72" s="12"/>
      <c r="K72" s="13"/>
      <c r="L72" s="14"/>
      <c r="M72" s="11"/>
    </row>
    <row r="73" spans="1:13" x14ac:dyDescent="0.35">
      <c r="A73" s="42">
        <f t="shared" si="2"/>
        <v>45848</v>
      </c>
      <c r="B73" s="42"/>
      <c r="C73" s="16"/>
      <c r="D73" s="18"/>
      <c r="E73" s="20"/>
      <c r="F73" s="22"/>
      <c r="G73" s="24"/>
      <c r="H73" s="26"/>
      <c r="I73" s="28"/>
      <c r="J73" s="12"/>
      <c r="K73" s="13"/>
      <c r="L73" s="14"/>
      <c r="M73" s="11"/>
    </row>
    <row r="74" spans="1:13" x14ac:dyDescent="0.35">
      <c r="A74" s="42">
        <f t="shared" si="2"/>
        <v>45849</v>
      </c>
      <c r="B74" s="42"/>
      <c r="C74" s="16"/>
      <c r="D74" s="18"/>
      <c r="E74" s="20"/>
      <c r="F74" s="22"/>
      <c r="G74" s="24"/>
      <c r="H74" s="26"/>
      <c r="I74" s="28"/>
      <c r="J74" s="12"/>
      <c r="K74" s="13"/>
      <c r="L74" s="14"/>
      <c r="M74" s="11"/>
    </row>
    <row r="75" spans="1:13" x14ac:dyDescent="0.35">
      <c r="A75" s="42">
        <f t="shared" si="2"/>
        <v>45850</v>
      </c>
      <c r="B75" s="42"/>
      <c r="C75" s="16"/>
      <c r="D75" s="18"/>
      <c r="E75" s="20"/>
      <c r="F75" s="22"/>
      <c r="G75" s="24"/>
      <c r="H75" s="26"/>
      <c r="I75" s="28"/>
      <c r="J75" s="12"/>
      <c r="K75" s="13"/>
      <c r="L75" s="14"/>
      <c r="M75" s="11"/>
    </row>
    <row r="76" spans="1:13" x14ac:dyDescent="0.35">
      <c r="A76" s="42">
        <f t="shared" si="2"/>
        <v>45851</v>
      </c>
      <c r="B76" s="42"/>
      <c r="C76" s="16"/>
      <c r="D76" s="18"/>
      <c r="E76" s="20"/>
      <c r="F76" s="22"/>
      <c r="G76" s="24"/>
      <c r="H76" s="26"/>
      <c r="I76" s="28"/>
      <c r="J76" s="12"/>
      <c r="K76" s="13"/>
      <c r="L76" s="14"/>
      <c r="M76" s="11"/>
    </row>
    <row r="77" spans="1:13" x14ac:dyDescent="0.35">
      <c r="A77" s="42">
        <f t="shared" si="2"/>
        <v>45852</v>
      </c>
      <c r="B77" s="42"/>
      <c r="C77" s="16"/>
      <c r="D77" s="18"/>
      <c r="E77" s="20"/>
      <c r="F77" s="22"/>
      <c r="G77" s="24"/>
      <c r="H77" s="26"/>
      <c r="I77" s="28"/>
      <c r="J77" s="12"/>
      <c r="K77" s="13"/>
      <c r="L77" s="14"/>
      <c r="M77" s="11"/>
    </row>
    <row r="78" spans="1:13" x14ac:dyDescent="0.35">
      <c r="A78" s="42">
        <f t="shared" si="2"/>
        <v>45853</v>
      </c>
      <c r="B78" s="42"/>
      <c r="C78" s="16"/>
      <c r="D78" s="18"/>
      <c r="E78" s="20"/>
      <c r="F78" s="22"/>
      <c r="G78" s="24"/>
      <c r="H78" s="26"/>
      <c r="I78" s="28"/>
      <c r="J78" s="12"/>
      <c r="K78" s="13"/>
      <c r="L78" s="14"/>
      <c r="M78" s="11"/>
    </row>
    <row r="79" spans="1:13" x14ac:dyDescent="0.35">
      <c r="A79" s="42">
        <f t="shared" si="2"/>
        <v>45854</v>
      </c>
      <c r="B79" s="42"/>
      <c r="C79" s="16"/>
      <c r="D79" s="18"/>
      <c r="E79" s="20"/>
      <c r="F79" s="22"/>
      <c r="G79" s="24"/>
      <c r="H79" s="26"/>
      <c r="I79" s="28"/>
      <c r="J79" s="12"/>
      <c r="K79" s="13"/>
      <c r="L79" s="14"/>
      <c r="M79" s="11"/>
    </row>
    <row r="80" spans="1:13" x14ac:dyDescent="0.35">
      <c r="A80" s="42">
        <f t="shared" si="2"/>
        <v>45855</v>
      </c>
      <c r="B80" s="42"/>
      <c r="C80" s="16"/>
      <c r="D80" s="18"/>
      <c r="E80" s="20"/>
      <c r="F80" s="22"/>
      <c r="G80" s="24"/>
      <c r="H80" s="26"/>
      <c r="I80" s="28"/>
      <c r="J80" s="12"/>
      <c r="K80" s="13"/>
      <c r="L80" s="14"/>
      <c r="M80" s="11"/>
    </row>
    <row r="81" spans="1:13" x14ac:dyDescent="0.35">
      <c r="A81" s="42">
        <f t="shared" si="2"/>
        <v>45856</v>
      </c>
      <c r="B81" s="42"/>
      <c r="C81" s="16"/>
      <c r="D81" s="18"/>
      <c r="E81" s="20"/>
      <c r="F81" s="22"/>
      <c r="G81" s="24"/>
      <c r="H81" s="26"/>
      <c r="I81" s="28"/>
      <c r="J81" s="12"/>
      <c r="K81" s="13"/>
      <c r="L81" s="14"/>
      <c r="M81" s="11"/>
    </row>
    <row r="82" spans="1:13" x14ac:dyDescent="0.35">
      <c r="A82" s="42">
        <f t="shared" si="2"/>
        <v>45857</v>
      </c>
      <c r="B82" s="42"/>
      <c r="C82" s="16"/>
      <c r="D82" s="18"/>
      <c r="E82" s="20"/>
      <c r="F82" s="22"/>
      <c r="G82" s="24"/>
      <c r="H82" s="26"/>
      <c r="I82" s="28"/>
      <c r="J82" s="12"/>
      <c r="K82" s="13"/>
      <c r="L82" s="14"/>
      <c r="M82" s="11"/>
    </row>
    <row r="83" spans="1:13" x14ac:dyDescent="0.35">
      <c r="A83" s="42">
        <f t="shared" si="2"/>
        <v>45858</v>
      </c>
      <c r="B83" s="42"/>
      <c r="C83" s="16"/>
      <c r="D83" s="18"/>
      <c r="E83" s="20"/>
      <c r="F83" s="22"/>
      <c r="G83" s="24"/>
      <c r="H83" s="26"/>
      <c r="I83" s="28"/>
      <c r="J83" s="12"/>
      <c r="K83" s="13"/>
      <c r="L83" s="14"/>
      <c r="M83" s="11"/>
    </row>
    <row r="84" spans="1:13" x14ac:dyDescent="0.35">
      <c r="A84" s="42">
        <f t="shared" si="2"/>
        <v>45859</v>
      </c>
      <c r="B84" s="42"/>
      <c r="C84" s="16"/>
      <c r="D84" s="18"/>
      <c r="E84" s="20"/>
      <c r="F84" s="22"/>
      <c r="G84" s="24"/>
      <c r="H84" s="26"/>
      <c r="I84" s="28"/>
      <c r="J84" s="12"/>
      <c r="K84" s="13"/>
      <c r="L84" s="14"/>
      <c r="M84" s="11"/>
    </row>
    <row r="85" spans="1:13" x14ac:dyDescent="0.35">
      <c r="A85" s="42">
        <f t="shared" si="2"/>
        <v>45860</v>
      </c>
      <c r="B85" s="42"/>
      <c r="C85" s="16"/>
      <c r="D85" s="18"/>
      <c r="E85" s="20"/>
      <c r="F85" s="22"/>
      <c r="G85" s="24"/>
      <c r="H85" s="26"/>
      <c r="I85" s="28"/>
      <c r="J85" s="12"/>
      <c r="K85" s="13"/>
      <c r="L85" s="14"/>
      <c r="M85" s="11"/>
    </row>
    <row r="86" spans="1:13" x14ac:dyDescent="0.35">
      <c r="A86" s="42">
        <f t="shared" si="2"/>
        <v>45861</v>
      </c>
      <c r="B86" s="42"/>
      <c r="C86" s="16"/>
      <c r="D86" s="18"/>
      <c r="E86" s="20"/>
      <c r="F86" s="22"/>
      <c r="G86" s="24"/>
      <c r="H86" s="26"/>
      <c r="I86" s="28"/>
      <c r="J86" s="12"/>
      <c r="K86" s="13"/>
      <c r="L86" s="14"/>
      <c r="M86" s="11"/>
    </row>
    <row r="87" spans="1:13" x14ac:dyDescent="0.35">
      <c r="A87" s="42">
        <f t="shared" si="2"/>
        <v>45862</v>
      </c>
      <c r="B87" s="42"/>
      <c r="C87" s="16"/>
      <c r="D87" s="18"/>
      <c r="E87" s="20"/>
      <c r="F87" s="22"/>
      <c r="G87" s="24"/>
      <c r="H87" s="26"/>
      <c r="I87" s="28"/>
      <c r="J87" s="12"/>
      <c r="K87" s="13"/>
      <c r="L87" s="14"/>
      <c r="M87" s="11"/>
    </row>
    <row r="88" spans="1:13" x14ac:dyDescent="0.35">
      <c r="A88" s="42">
        <f t="shared" si="2"/>
        <v>45863</v>
      </c>
      <c r="B88" s="42"/>
      <c r="C88" s="16"/>
      <c r="D88" s="18"/>
      <c r="E88" s="20"/>
      <c r="F88" s="22"/>
      <c r="G88" s="24"/>
      <c r="H88" s="26"/>
      <c r="I88" s="28"/>
      <c r="J88" s="12"/>
      <c r="K88" s="13"/>
      <c r="L88" s="14"/>
      <c r="M88" s="11"/>
    </row>
    <row r="89" spans="1:13" x14ac:dyDescent="0.35">
      <c r="A89" s="42">
        <f t="shared" si="2"/>
        <v>45864</v>
      </c>
      <c r="B89" s="42"/>
      <c r="C89" s="16"/>
      <c r="D89" s="18"/>
      <c r="E89" s="20"/>
      <c r="F89" s="22"/>
      <c r="G89" s="24"/>
      <c r="H89" s="26"/>
      <c r="I89" s="28"/>
      <c r="J89" s="12"/>
      <c r="K89" s="13"/>
      <c r="L89" s="14"/>
      <c r="M89" s="11"/>
    </row>
    <row r="90" spans="1:13" x14ac:dyDescent="0.35">
      <c r="A90" s="42">
        <f t="shared" si="2"/>
        <v>45865</v>
      </c>
      <c r="B90" s="42"/>
      <c r="C90" s="16"/>
      <c r="D90" s="18"/>
      <c r="E90" s="20"/>
      <c r="F90" s="22"/>
      <c r="G90" s="24"/>
      <c r="H90" s="26"/>
      <c r="I90" s="28"/>
      <c r="J90" s="12"/>
      <c r="K90" s="13"/>
      <c r="L90" s="14"/>
      <c r="M90" s="11"/>
    </row>
    <row r="91" spans="1:13" x14ac:dyDescent="0.35">
      <c r="A91" s="42">
        <f t="shared" si="2"/>
        <v>45866</v>
      </c>
      <c r="B91" s="42"/>
      <c r="C91" s="16"/>
      <c r="D91" s="18"/>
      <c r="E91" s="20"/>
      <c r="F91" s="22"/>
      <c r="G91" s="24"/>
      <c r="H91" s="26"/>
      <c r="I91" s="28"/>
      <c r="J91" s="12"/>
      <c r="K91" s="13"/>
      <c r="L91" s="14"/>
      <c r="M91" s="11"/>
    </row>
    <row r="92" spans="1:13" x14ac:dyDescent="0.35">
      <c r="A92" s="42">
        <f t="shared" si="2"/>
        <v>45867</v>
      </c>
      <c r="B92" s="42"/>
      <c r="C92" s="16"/>
      <c r="D92" s="18"/>
      <c r="E92" s="20"/>
      <c r="F92" s="22"/>
      <c r="G92" s="24"/>
      <c r="H92" s="26"/>
      <c r="I92" s="28"/>
      <c r="J92" s="12"/>
      <c r="K92" s="13"/>
      <c r="L92" s="14"/>
      <c r="M92" s="11"/>
    </row>
    <row r="93" spans="1:13" x14ac:dyDescent="0.35">
      <c r="A93" s="42">
        <f t="shared" si="2"/>
        <v>45868</v>
      </c>
      <c r="B93" s="42"/>
      <c r="C93" s="16"/>
      <c r="D93" s="18"/>
      <c r="E93" s="20"/>
      <c r="F93" s="22"/>
      <c r="G93" s="24"/>
      <c r="H93" s="26"/>
      <c r="I93" s="28"/>
      <c r="J93" s="12"/>
      <c r="K93" s="13"/>
      <c r="L93" s="14"/>
      <c r="M93" s="11"/>
    </row>
    <row r="94" spans="1:13" x14ac:dyDescent="0.35">
      <c r="A94" s="42">
        <f t="shared" si="2"/>
        <v>45869</v>
      </c>
      <c r="B94" s="42"/>
      <c r="C94" s="16"/>
      <c r="D94" s="18"/>
      <c r="E94" s="20"/>
      <c r="F94" s="22"/>
      <c r="G94" s="24"/>
      <c r="H94" s="26"/>
      <c r="I94" s="28"/>
      <c r="J94" s="12"/>
      <c r="K94" s="13"/>
      <c r="L94" s="14"/>
      <c r="M94" s="11"/>
    </row>
    <row r="95" spans="1:13" x14ac:dyDescent="0.35">
      <c r="A95" s="42">
        <f t="shared" si="2"/>
        <v>45870</v>
      </c>
      <c r="B95" s="42"/>
      <c r="C95" s="16"/>
      <c r="D95" s="18"/>
      <c r="E95" s="20"/>
      <c r="F95" s="22"/>
      <c r="G95" s="24"/>
      <c r="H95" s="26"/>
      <c r="I95" s="28"/>
      <c r="J95" s="12"/>
      <c r="K95" s="13"/>
      <c r="L95" s="14"/>
      <c r="M95" s="11"/>
    </row>
    <row r="96" spans="1:13" x14ac:dyDescent="0.35">
      <c r="A96" s="42">
        <f t="shared" si="2"/>
        <v>45871</v>
      </c>
      <c r="B96" s="42"/>
      <c r="C96" s="16"/>
      <c r="D96" s="18"/>
      <c r="E96" s="20"/>
      <c r="F96" s="22"/>
      <c r="G96" s="24"/>
      <c r="H96" s="26"/>
      <c r="I96" s="28"/>
      <c r="J96" s="12"/>
      <c r="K96" s="13"/>
      <c r="L96" s="14"/>
      <c r="M96" s="11"/>
    </row>
    <row r="97" spans="1:13" x14ac:dyDescent="0.35">
      <c r="A97" s="42">
        <f t="shared" si="2"/>
        <v>45872</v>
      </c>
      <c r="B97" s="42"/>
      <c r="C97" s="16"/>
      <c r="D97" s="18"/>
      <c r="E97" s="20"/>
      <c r="F97" s="22"/>
      <c r="G97" s="24"/>
      <c r="H97" s="26"/>
      <c r="I97" s="28"/>
      <c r="J97" s="12"/>
      <c r="K97" s="13"/>
      <c r="L97" s="14"/>
      <c r="M97" s="11"/>
    </row>
    <row r="98" spans="1:13" x14ac:dyDescent="0.35">
      <c r="A98" s="42">
        <f t="shared" ref="A98:A161" si="3">A97+1</f>
        <v>45873</v>
      </c>
      <c r="B98" s="42"/>
      <c r="C98" s="16"/>
      <c r="D98" s="18"/>
      <c r="E98" s="20"/>
      <c r="F98" s="22"/>
      <c r="G98" s="24"/>
      <c r="H98" s="26"/>
      <c r="I98" s="28"/>
      <c r="J98" s="12"/>
      <c r="K98" s="13"/>
      <c r="L98" s="14"/>
      <c r="M98" s="11"/>
    </row>
    <row r="99" spans="1:13" x14ac:dyDescent="0.35">
      <c r="A99" s="42">
        <f t="shared" si="3"/>
        <v>45874</v>
      </c>
      <c r="B99" s="42"/>
      <c r="C99" s="16"/>
      <c r="D99" s="18"/>
      <c r="E99" s="20"/>
      <c r="F99" s="22"/>
      <c r="G99" s="24"/>
      <c r="H99" s="26"/>
      <c r="I99" s="28"/>
      <c r="J99" s="12"/>
      <c r="K99" s="13"/>
      <c r="L99" s="14"/>
      <c r="M99" s="11"/>
    </row>
    <row r="100" spans="1:13" x14ac:dyDescent="0.35">
      <c r="A100" s="42">
        <f t="shared" si="3"/>
        <v>45875</v>
      </c>
      <c r="B100" s="42"/>
      <c r="C100" s="16"/>
      <c r="D100" s="18"/>
      <c r="E100" s="20"/>
      <c r="F100" s="22"/>
      <c r="G100" s="24"/>
      <c r="H100" s="26"/>
      <c r="I100" s="28"/>
      <c r="J100" s="12"/>
      <c r="K100" s="13"/>
      <c r="L100" s="14"/>
      <c r="M100" s="11"/>
    </row>
    <row r="101" spans="1:13" x14ac:dyDescent="0.35">
      <c r="A101" s="42">
        <f t="shared" si="3"/>
        <v>45876</v>
      </c>
      <c r="B101" s="42"/>
      <c r="C101" s="16"/>
      <c r="D101" s="18"/>
      <c r="E101" s="20"/>
      <c r="F101" s="22"/>
      <c r="G101" s="24"/>
      <c r="H101" s="26"/>
      <c r="I101" s="28"/>
      <c r="J101" s="12"/>
      <c r="K101" s="13"/>
      <c r="L101" s="14"/>
      <c r="M101" s="11"/>
    </row>
    <row r="102" spans="1:13" x14ac:dyDescent="0.35">
      <c r="A102" s="42">
        <f t="shared" si="3"/>
        <v>45877</v>
      </c>
      <c r="B102" s="42"/>
      <c r="C102" s="16"/>
      <c r="D102" s="18"/>
      <c r="E102" s="20"/>
      <c r="F102" s="22"/>
      <c r="G102" s="24"/>
      <c r="H102" s="26"/>
      <c r="I102" s="28"/>
      <c r="J102" s="12"/>
      <c r="K102" s="13"/>
      <c r="L102" s="14"/>
      <c r="M102" s="11"/>
    </row>
    <row r="103" spans="1:13" x14ac:dyDescent="0.35">
      <c r="A103" s="42">
        <f t="shared" si="3"/>
        <v>45878</v>
      </c>
      <c r="B103" s="42"/>
      <c r="C103" s="16"/>
      <c r="D103" s="18"/>
      <c r="E103" s="20"/>
      <c r="F103" s="22"/>
      <c r="G103" s="24"/>
      <c r="H103" s="26"/>
      <c r="I103" s="28"/>
      <c r="J103" s="12"/>
      <c r="K103" s="13"/>
      <c r="L103" s="14"/>
      <c r="M103" s="11"/>
    </row>
    <row r="104" spans="1:13" x14ac:dyDescent="0.35">
      <c r="A104" s="42">
        <f t="shared" si="3"/>
        <v>45879</v>
      </c>
      <c r="B104" s="42"/>
      <c r="C104" s="16"/>
      <c r="D104" s="18"/>
      <c r="E104" s="20"/>
      <c r="F104" s="22"/>
      <c r="G104" s="24"/>
      <c r="H104" s="26"/>
      <c r="I104" s="28"/>
      <c r="J104" s="12"/>
      <c r="K104" s="13"/>
      <c r="L104" s="14"/>
      <c r="M104" s="11"/>
    </row>
    <row r="105" spans="1:13" x14ac:dyDescent="0.35">
      <c r="A105" s="42">
        <f t="shared" si="3"/>
        <v>45880</v>
      </c>
      <c r="B105" s="42"/>
      <c r="C105" s="16"/>
      <c r="D105" s="18"/>
      <c r="E105" s="20"/>
      <c r="F105" s="22"/>
      <c r="G105" s="24"/>
      <c r="H105" s="26"/>
      <c r="I105" s="28"/>
      <c r="J105" s="12"/>
      <c r="K105" s="13"/>
      <c r="L105" s="14"/>
      <c r="M105" s="11"/>
    </row>
    <row r="106" spans="1:13" x14ac:dyDescent="0.35">
      <c r="A106" s="42">
        <f t="shared" si="3"/>
        <v>45881</v>
      </c>
      <c r="B106" s="42"/>
      <c r="C106" s="16"/>
      <c r="D106" s="18"/>
      <c r="E106" s="20"/>
      <c r="F106" s="22"/>
      <c r="G106" s="24"/>
      <c r="H106" s="26"/>
      <c r="I106" s="28"/>
      <c r="J106" s="12"/>
      <c r="K106" s="13"/>
      <c r="L106" s="14"/>
      <c r="M106" s="11"/>
    </row>
    <row r="107" spans="1:13" x14ac:dyDescent="0.35">
      <c r="A107" s="42">
        <f t="shared" si="3"/>
        <v>45882</v>
      </c>
      <c r="B107" s="42"/>
      <c r="C107" s="16"/>
      <c r="D107" s="18"/>
      <c r="E107" s="20"/>
      <c r="F107" s="22"/>
      <c r="G107" s="24"/>
      <c r="H107" s="26"/>
      <c r="I107" s="28"/>
      <c r="J107" s="12"/>
      <c r="K107" s="13"/>
      <c r="L107" s="14"/>
      <c r="M107" s="11"/>
    </row>
    <row r="108" spans="1:13" x14ac:dyDescent="0.35">
      <c r="A108" s="42">
        <f t="shared" si="3"/>
        <v>45883</v>
      </c>
      <c r="B108" s="42"/>
      <c r="C108" s="16"/>
      <c r="D108" s="18"/>
      <c r="E108" s="20"/>
      <c r="F108" s="22"/>
      <c r="G108" s="24"/>
      <c r="H108" s="26"/>
      <c r="I108" s="28"/>
      <c r="J108" s="12"/>
      <c r="K108" s="13"/>
      <c r="L108" s="14"/>
      <c r="M108" s="11"/>
    </row>
    <row r="109" spans="1:13" x14ac:dyDescent="0.35">
      <c r="A109" s="42">
        <f t="shared" si="3"/>
        <v>45884</v>
      </c>
      <c r="B109" s="42"/>
      <c r="C109" s="16"/>
      <c r="D109" s="18"/>
      <c r="E109" s="20"/>
      <c r="F109" s="22"/>
      <c r="G109" s="24"/>
      <c r="H109" s="26"/>
      <c r="I109" s="28"/>
      <c r="J109" s="12"/>
      <c r="K109" s="13"/>
      <c r="L109" s="14"/>
      <c r="M109" s="11"/>
    </row>
    <row r="110" spans="1:13" x14ac:dyDescent="0.35">
      <c r="A110" s="42">
        <f t="shared" si="3"/>
        <v>45885</v>
      </c>
      <c r="B110" s="42"/>
      <c r="C110" s="16"/>
      <c r="D110" s="18"/>
      <c r="E110" s="20"/>
      <c r="F110" s="22"/>
      <c r="G110" s="24"/>
      <c r="H110" s="26"/>
      <c r="I110" s="28"/>
      <c r="J110" s="12"/>
      <c r="K110" s="13"/>
      <c r="L110" s="14"/>
      <c r="M110" s="11"/>
    </row>
    <row r="111" spans="1:13" x14ac:dyDescent="0.35">
      <c r="A111" s="42">
        <f t="shared" si="3"/>
        <v>45886</v>
      </c>
      <c r="B111" s="42"/>
      <c r="C111" s="16"/>
      <c r="D111" s="18"/>
      <c r="E111" s="20"/>
      <c r="F111" s="22"/>
      <c r="G111" s="24"/>
      <c r="H111" s="26"/>
      <c r="I111" s="28"/>
      <c r="J111" s="12"/>
      <c r="K111" s="13"/>
      <c r="L111" s="14"/>
      <c r="M111" s="11"/>
    </row>
    <row r="112" spans="1:13" x14ac:dyDescent="0.35">
      <c r="A112" s="42">
        <f t="shared" si="3"/>
        <v>45887</v>
      </c>
      <c r="B112" s="42"/>
      <c r="C112" s="16"/>
      <c r="D112" s="18"/>
      <c r="E112" s="20"/>
      <c r="F112" s="22"/>
      <c r="G112" s="24"/>
      <c r="H112" s="26"/>
      <c r="I112" s="28"/>
      <c r="J112" s="12"/>
      <c r="K112" s="13"/>
      <c r="L112" s="14"/>
      <c r="M112" s="11"/>
    </row>
    <row r="113" spans="1:13" x14ac:dyDescent="0.35">
      <c r="A113" s="42">
        <f t="shared" si="3"/>
        <v>45888</v>
      </c>
      <c r="B113" s="42"/>
      <c r="C113" s="16"/>
      <c r="D113" s="18"/>
      <c r="E113" s="20"/>
      <c r="F113" s="22"/>
      <c r="G113" s="24"/>
      <c r="H113" s="26"/>
      <c r="I113" s="28"/>
      <c r="J113" s="12"/>
      <c r="K113" s="13"/>
      <c r="L113" s="14"/>
      <c r="M113" s="11"/>
    </row>
    <row r="114" spans="1:13" x14ac:dyDescent="0.35">
      <c r="A114" s="42">
        <f t="shared" si="3"/>
        <v>45889</v>
      </c>
      <c r="B114" s="42"/>
      <c r="C114" s="16"/>
      <c r="D114" s="18"/>
      <c r="E114" s="20"/>
      <c r="F114" s="22"/>
      <c r="G114" s="24"/>
      <c r="H114" s="26"/>
      <c r="I114" s="28"/>
      <c r="J114" s="12"/>
      <c r="K114" s="13"/>
      <c r="L114" s="14"/>
      <c r="M114" s="11"/>
    </row>
    <row r="115" spans="1:13" x14ac:dyDescent="0.35">
      <c r="A115" s="42">
        <f t="shared" si="3"/>
        <v>45890</v>
      </c>
      <c r="B115" s="42"/>
      <c r="C115" s="16"/>
      <c r="D115" s="18"/>
      <c r="E115" s="20"/>
      <c r="F115" s="22"/>
      <c r="G115" s="24"/>
      <c r="H115" s="26"/>
      <c r="I115" s="28"/>
      <c r="J115" s="12"/>
      <c r="K115" s="13"/>
      <c r="L115" s="14"/>
      <c r="M115" s="11"/>
    </row>
    <row r="116" spans="1:13" x14ac:dyDescent="0.35">
      <c r="A116" s="42">
        <f t="shared" si="3"/>
        <v>45891</v>
      </c>
      <c r="B116" s="42"/>
      <c r="C116" s="16"/>
      <c r="D116" s="18"/>
      <c r="E116" s="20"/>
      <c r="F116" s="22"/>
      <c r="G116" s="24"/>
      <c r="H116" s="26"/>
      <c r="I116" s="28"/>
      <c r="J116" s="12"/>
      <c r="K116" s="13"/>
      <c r="L116" s="14"/>
      <c r="M116" s="11"/>
    </row>
    <row r="117" spans="1:13" x14ac:dyDescent="0.35">
      <c r="A117" s="42">
        <f t="shared" si="3"/>
        <v>45892</v>
      </c>
      <c r="B117" s="42"/>
      <c r="C117" s="16"/>
      <c r="D117" s="18"/>
      <c r="E117" s="20"/>
      <c r="F117" s="22"/>
      <c r="G117" s="24"/>
      <c r="H117" s="26"/>
      <c r="I117" s="28"/>
      <c r="J117" s="12"/>
      <c r="K117" s="13"/>
      <c r="L117" s="14"/>
      <c r="M117" s="11"/>
    </row>
    <row r="118" spans="1:13" x14ac:dyDescent="0.35">
      <c r="A118" s="42">
        <f t="shared" si="3"/>
        <v>45893</v>
      </c>
      <c r="B118" s="42"/>
      <c r="C118" s="16"/>
      <c r="D118" s="18"/>
      <c r="E118" s="20"/>
      <c r="F118" s="22"/>
      <c r="G118" s="24"/>
      <c r="H118" s="26"/>
      <c r="I118" s="28"/>
      <c r="J118" s="12"/>
      <c r="K118" s="13"/>
      <c r="L118" s="14"/>
      <c r="M118" s="11"/>
    </row>
    <row r="119" spans="1:13" x14ac:dyDescent="0.35">
      <c r="A119" s="42">
        <f t="shared" si="3"/>
        <v>45894</v>
      </c>
      <c r="B119" s="42"/>
      <c r="C119" s="16"/>
      <c r="D119" s="18"/>
      <c r="E119" s="20"/>
      <c r="F119" s="22"/>
      <c r="G119" s="24"/>
      <c r="H119" s="26"/>
      <c r="I119" s="28"/>
      <c r="J119" s="12"/>
      <c r="K119" s="13"/>
      <c r="L119" s="14"/>
      <c r="M119" s="11"/>
    </row>
    <row r="120" spans="1:13" x14ac:dyDescent="0.35">
      <c r="A120" s="42">
        <f t="shared" si="3"/>
        <v>45895</v>
      </c>
      <c r="B120" s="42"/>
      <c r="C120" s="16"/>
      <c r="D120" s="18"/>
      <c r="E120" s="20"/>
      <c r="F120" s="22"/>
      <c r="G120" s="24"/>
      <c r="H120" s="26"/>
      <c r="I120" s="28"/>
      <c r="J120" s="12"/>
      <c r="K120" s="13"/>
      <c r="L120" s="14"/>
      <c r="M120" s="11"/>
    </row>
    <row r="121" spans="1:13" x14ac:dyDescent="0.35">
      <c r="A121" s="42">
        <f t="shared" si="3"/>
        <v>45896</v>
      </c>
      <c r="B121" s="42"/>
      <c r="C121" s="16"/>
      <c r="D121" s="18"/>
      <c r="E121" s="20"/>
      <c r="F121" s="22"/>
      <c r="G121" s="24"/>
      <c r="H121" s="26"/>
      <c r="I121" s="28"/>
      <c r="J121" s="12"/>
      <c r="K121" s="13"/>
      <c r="L121" s="14"/>
      <c r="M121" s="11"/>
    </row>
    <row r="122" spans="1:13" x14ac:dyDescent="0.35">
      <c r="A122" s="42">
        <f t="shared" si="3"/>
        <v>45897</v>
      </c>
      <c r="B122" s="42"/>
      <c r="C122" s="16"/>
      <c r="D122" s="18"/>
      <c r="E122" s="20"/>
      <c r="F122" s="22"/>
      <c r="G122" s="24"/>
      <c r="H122" s="26"/>
      <c r="I122" s="28"/>
      <c r="J122" s="12"/>
      <c r="K122" s="13"/>
      <c r="L122" s="14"/>
      <c r="M122" s="11"/>
    </row>
    <row r="123" spans="1:13" x14ac:dyDescent="0.35">
      <c r="A123" s="42">
        <f t="shared" si="3"/>
        <v>45898</v>
      </c>
      <c r="B123" s="42"/>
      <c r="C123" s="16"/>
      <c r="D123" s="18"/>
      <c r="E123" s="20"/>
      <c r="F123" s="22"/>
      <c r="G123" s="24"/>
      <c r="H123" s="26"/>
      <c r="I123" s="28"/>
      <c r="J123" s="12"/>
      <c r="K123" s="13"/>
      <c r="L123" s="14"/>
      <c r="M123" s="11"/>
    </row>
    <row r="124" spans="1:13" x14ac:dyDescent="0.35">
      <c r="A124" s="42">
        <f t="shared" si="3"/>
        <v>45899</v>
      </c>
      <c r="B124" s="42"/>
      <c r="C124" s="16"/>
      <c r="D124" s="18"/>
      <c r="E124" s="20"/>
      <c r="F124" s="22"/>
      <c r="G124" s="24"/>
      <c r="H124" s="26"/>
      <c r="I124" s="28"/>
      <c r="J124" s="12"/>
      <c r="K124" s="13"/>
      <c r="L124" s="14"/>
      <c r="M124" s="11"/>
    </row>
    <row r="125" spans="1:13" x14ac:dyDescent="0.35">
      <c r="A125" s="42">
        <f t="shared" si="3"/>
        <v>45900</v>
      </c>
      <c r="B125" s="42"/>
      <c r="C125" s="16"/>
      <c r="D125" s="18"/>
      <c r="E125" s="20"/>
      <c r="F125" s="22"/>
      <c r="G125" s="24"/>
      <c r="H125" s="26"/>
      <c r="I125" s="28"/>
      <c r="J125" s="12"/>
      <c r="K125" s="13"/>
      <c r="L125" s="14"/>
      <c r="M125" s="11"/>
    </row>
    <row r="126" spans="1:13" x14ac:dyDescent="0.35">
      <c r="A126" s="42">
        <f t="shared" si="3"/>
        <v>45901</v>
      </c>
      <c r="B126" s="42"/>
      <c r="C126" s="16"/>
      <c r="D126" s="18"/>
      <c r="E126" s="20"/>
      <c r="F126" s="22"/>
      <c r="G126" s="24"/>
      <c r="H126" s="26"/>
      <c r="I126" s="28"/>
      <c r="J126" s="12"/>
      <c r="K126" s="13"/>
      <c r="L126" s="14"/>
      <c r="M126" s="11"/>
    </row>
    <row r="127" spans="1:13" x14ac:dyDescent="0.35">
      <c r="A127" s="42">
        <f t="shared" si="3"/>
        <v>45902</v>
      </c>
      <c r="B127" s="42"/>
      <c r="C127" s="16"/>
      <c r="D127" s="18"/>
      <c r="E127" s="20"/>
      <c r="F127" s="22"/>
      <c r="G127" s="24"/>
      <c r="H127" s="26"/>
      <c r="I127" s="28"/>
      <c r="J127" s="12"/>
      <c r="K127" s="13"/>
      <c r="L127" s="14"/>
      <c r="M127" s="11"/>
    </row>
    <row r="128" spans="1:13" x14ac:dyDescent="0.35">
      <c r="A128" s="42">
        <f t="shared" si="3"/>
        <v>45903</v>
      </c>
      <c r="B128" s="42"/>
      <c r="C128" s="16"/>
      <c r="D128" s="18"/>
      <c r="E128" s="20"/>
      <c r="F128" s="22"/>
      <c r="G128" s="24"/>
      <c r="H128" s="26"/>
      <c r="I128" s="28"/>
      <c r="J128" s="12"/>
      <c r="K128" s="13"/>
      <c r="L128" s="14"/>
      <c r="M128" s="11"/>
    </row>
    <row r="129" spans="1:13" x14ac:dyDescent="0.35">
      <c r="A129" s="42">
        <f t="shared" si="3"/>
        <v>45904</v>
      </c>
      <c r="B129" s="42"/>
      <c r="C129" s="16"/>
      <c r="D129" s="18"/>
      <c r="E129" s="20"/>
      <c r="F129" s="22"/>
      <c r="G129" s="24"/>
      <c r="H129" s="26"/>
      <c r="I129" s="28"/>
      <c r="J129" s="12"/>
      <c r="K129" s="13"/>
      <c r="L129" s="14"/>
      <c r="M129" s="11"/>
    </row>
    <row r="130" spans="1:13" x14ac:dyDescent="0.35">
      <c r="A130" s="42">
        <f t="shared" si="3"/>
        <v>45905</v>
      </c>
      <c r="B130" s="42"/>
      <c r="C130" s="16"/>
      <c r="D130" s="18"/>
      <c r="E130" s="20"/>
      <c r="F130" s="22"/>
      <c r="G130" s="24"/>
      <c r="H130" s="26"/>
      <c r="I130" s="28"/>
      <c r="J130" s="12"/>
      <c r="K130" s="13"/>
      <c r="L130" s="14"/>
      <c r="M130" s="11"/>
    </row>
    <row r="131" spans="1:13" x14ac:dyDescent="0.35">
      <c r="A131" s="42">
        <f t="shared" si="3"/>
        <v>45906</v>
      </c>
      <c r="B131" s="42"/>
      <c r="C131" s="16"/>
      <c r="D131" s="18"/>
      <c r="E131" s="20"/>
      <c r="F131" s="22"/>
      <c r="G131" s="24"/>
      <c r="H131" s="26"/>
      <c r="I131" s="28"/>
      <c r="J131" s="12"/>
      <c r="K131" s="13"/>
      <c r="L131" s="14"/>
      <c r="M131" s="11"/>
    </row>
    <row r="132" spans="1:13" x14ac:dyDescent="0.35">
      <c r="A132" s="42">
        <f t="shared" si="3"/>
        <v>45907</v>
      </c>
      <c r="B132" s="42"/>
      <c r="C132" s="16"/>
      <c r="D132" s="18"/>
      <c r="E132" s="20"/>
      <c r="F132" s="22"/>
      <c r="G132" s="24"/>
      <c r="H132" s="26"/>
      <c r="I132" s="28"/>
      <c r="J132" s="12"/>
      <c r="K132" s="13"/>
      <c r="L132" s="14"/>
      <c r="M132" s="11"/>
    </row>
    <row r="133" spans="1:13" x14ac:dyDescent="0.35">
      <c r="A133" s="42">
        <f t="shared" si="3"/>
        <v>45908</v>
      </c>
      <c r="B133" s="42"/>
      <c r="C133" s="16"/>
      <c r="D133" s="18"/>
      <c r="E133" s="20"/>
      <c r="F133" s="22"/>
      <c r="G133" s="24"/>
      <c r="H133" s="26"/>
      <c r="I133" s="28"/>
      <c r="J133" s="12"/>
      <c r="K133" s="13"/>
      <c r="L133" s="14"/>
      <c r="M133" s="11"/>
    </row>
    <row r="134" spans="1:13" x14ac:dyDescent="0.35">
      <c r="A134" s="42">
        <f t="shared" si="3"/>
        <v>45909</v>
      </c>
      <c r="B134" s="42"/>
      <c r="C134" s="16"/>
      <c r="D134" s="18"/>
      <c r="E134" s="20"/>
      <c r="F134" s="22"/>
      <c r="G134" s="24"/>
      <c r="H134" s="26"/>
      <c r="I134" s="28"/>
      <c r="J134" s="12"/>
      <c r="K134" s="13"/>
      <c r="L134" s="14"/>
      <c r="M134" s="11"/>
    </row>
    <row r="135" spans="1:13" x14ac:dyDescent="0.35">
      <c r="A135" s="42">
        <f t="shared" si="3"/>
        <v>45910</v>
      </c>
      <c r="B135" s="42"/>
      <c r="C135" s="16"/>
      <c r="D135" s="18"/>
      <c r="E135" s="20"/>
      <c r="F135" s="22"/>
      <c r="G135" s="24"/>
      <c r="H135" s="26"/>
      <c r="I135" s="28"/>
      <c r="J135" s="12"/>
      <c r="K135" s="13"/>
      <c r="L135" s="14"/>
      <c r="M135" s="11"/>
    </row>
    <row r="136" spans="1:13" x14ac:dyDescent="0.35">
      <c r="A136" s="42">
        <f t="shared" si="3"/>
        <v>45911</v>
      </c>
      <c r="B136" s="42"/>
      <c r="C136" s="16"/>
      <c r="D136" s="18"/>
      <c r="E136" s="20"/>
      <c r="F136" s="22"/>
      <c r="G136" s="24"/>
      <c r="H136" s="26"/>
      <c r="I136" s="28"/>
      <c r="J136" s="12"/>
      <c r="K136" s="13"/>
      <c r="L136" s="14"/>
      <c r="M136" s="11"/>
    </row>
    <row r="137" spans="1:13" x14ac:dyDescent="0.35">
      <c r="A137" s="42">
        <f t="shared" si="3"/>
        <v>45912</v>
      </c>
      <c r="B137" s="42"/>
      <c r="C137" s="16"/>
      <c r="D137" s="18"/>
      <c r="E137" s="20"/>
      <c r="F137" s="22"/>
      <c r="G137" s="24"/>
      <c r="H137" s="26"/>
      <c r="I137" s="28"/>
      <c r="J137" s="12"/>
      <c r="K137" s="13"/>
      <c r="L137" s="14"/>
      <c r="M137" s="11"/>
    </row>
    <row r="138" spans="1:13" x14ac:dyDescent="0.35">
      <c r="A138" s="42">
        <f t="shared" si="3"/>
        <v>45913</v>
      </c>
      <c r="B138" s="42"/>
      <c r="C138" s="16"/>
      <c r="D138" s="18"/>
      <c r="E138" s="20"/>
      <c r="F138" s="22"/>
      <c r="G138" s="24"/>
      <c r="H138" s="26"/>
      <c r="I138" s="28"/>
      <c r="J138" s="12"/>
      <c r="K138" s="13"/>
      <c r="L138" s="14"/>
      <c r="M138" s="11"/>
    </row>
    <row r="139" spans="1:13" x14ac:dyDescent="0.35">
      <c r="A139" s="42">
        <f t="shared" si="3"/>
        <v>45914</v>
      </c>
      <c r="B139" s="42"/>
      <c r="C139" s="16"/>
      <c r="D139" s="18"/>
      <c r="E139" s="20"/>
      <c r="F139" s="22"/>
      <c r="G139" s="24"/>
      <c r="H139" s="26"/>
      <c r="I139" s="28"/>
      <c r="J139" s="12"/>
      <c r="K139" s="13"/>
      <c r="L139" s="14"/>
      <c r="M139" s="11"/>
    </row>
    <row r="140" spans="1:13" x14ac:dyDescent="0.35">
      <c r="A140" s="42">
        <f t="shared" si="3"/>
        <v>45915</v>
      </c>
      <c r="B140" s="42"/>
      <c r="C140" s="16"/>
      <c r="D140" s="18"/>
      <c r="E140" s="20"/>
      <c r="F140" s="22"/>
      <c r="G140" s="24"/>
      <c r="H140" s="26"/>
      <c r="I140" s="28"/>
      <c r="J140" s="12"/>
      <c r="K140" s="13"/>
      <c r="L140" s="14"/>
      <c r="M140" s="11"/>
    </row>
    <row r="141" spans="1:13" x14ac:dyDescent="0.35">
      <c r="A141" s="42">
        <f t="shared" si="3"/>
        <v>45916</v>
      </c>
      <c r="B141" s="42"/>
      <c r="C141" s="16"/>
      <c r="D141" s="18"/>
      <c r="E141" s="20"/>
      <c r="F141" s="22"/>
      <c r="G141" s="24"/>
      <c r="H141" s="26"/>
      <c r="I141" s="28"/>
      <c r="J141" s="12"/>
      <c r="K141" s="13"/>
      <c r="L141" s="14"/>
      <c r="M141" s="11"/>
    </row>
    <row r="142" spans="1:13" x14ac:dyDescent="0.35">
      <c r="A142" s="42">
        <f t="shared" si="3"/>
        <v>45917</v>
      </c>
      <c r="B142" s="42"/>
      <c r="C142" s="16"/>
      <c r="D142" s="18"/>
      <c r="E142" s="20"/>
      <c r="F142" s="22"/>
      <c r="G142" s="24"/>
      <c r="H142" s="26"/>
      <c r="I142" s="28"/>
      <c r="J142" s="12"/>
      <c r="K142" s="13"/>
      <c r="L142" s="14"/>
      <c r="M142" s="11"/>
    </row>
    <row r="143" spans="1:13" x14ac:dyDescent="0.35">
      <c r="A143" s="42">
        <f t="shared" si="3"/>
        <v>45918</v>
      </c>
      <c r="B143" s="42"/>
      <c r="C143" s="16"/>
      <c r="D143" s="18"/>
      <c r="E143" s="20"/>
      <c r="F143" s="22"/>
      <c r="G143" s="24"/>
      <c r="H143" s="26"/>
      <c r="I143" s="28"/>
      <c r="J143" s="12"/>
      <c r="K143" s="13"/>
      <c r="L143" s="14"/>
      <c r="M143" s="11"/>
    </row>
    <row r="144" spans="1:13" x14ac:dyDescent="0.35">
      <c r="A144" s="42">
        <f t="shared" si="3"/>
        <v>45919</v>
      </c>
      <c r="B144" s="42"/>
      <c r="C144" s="16"/>
      <c r="D144" s="18"/>
      <c r="E144" s="20"/>
      <c r="F144" s="22"/>
      <c r="G144" s="24"/>
      <c r="H144" s="26"/>
      <c r="I144" s="28"/>
      <c r="J144" s="12"/>
      <c r="K144" s="13"/>
      <c r="L144" s="14"/>
      <c r="M144" s="11"/>
    </row>
    <row r="145" spans="1:13" x14ac:dyDescent="0.35">
      <c r="A145" s="42">
        <f t="shared" si="3"/>
        <v>45920</v>
      </c>
      <c r="B145" s="42"/>
      <c r="C145" s="16"/>
      <c r="D145" s="18"/>
      <c r="E145" s="20"/>
      <c r="F145" s="22"/>
      <c r="G145" s="24"/>
      <c r="H145" s="26"/>
      <c r="I145" s="28"/>
      <c r="J145" s="12"/>
      <c r="K145" s="13"/>
      <c r="L145" s="14"/>
      <c r="M145" s="11"/>
    </row>
    <row r="146" spans="1:13" x14ac:dyDescent="0.35">
      <c r="A146" s="42">
        <f t="shared" si="3"/>
        <v>45921</v>
      </c>
      <c r="B146" s="42"/>
      <c r="C146" s="16"/>
      <c r="D146" s="18"/>
      <c r="E146" s="20"/>
      <c r="F146" s="22"/>
      <c r="G146" s="24"/>
      <c r="H146" s="26"/>
      <c r="I146" s="28"/>
      <c r="J146" s="12"/>
      <c r="K146" s="13"/>
      <c r="L146" s="14"/>
      <c r="M146" s="11"/>
    </row>
    <row r="147" spans="1:13" x14ac:dyDescent="0.35">
      <c r="A147" s="42">
        <f t="shared" si="3"/>
        <v>45922</v>
      </c>
      <c r="B147" s="42"/>
      <c r="C147" s="16"/>
      <c r="D147" s="18"/>
      <c r="E147" s="20"/>
      <c r="F147" s="22"/>
      <c r="G147" s="24"/>
      <c r="H147" s="26"/>
      <c r="I147" s="28"/>
      <c r="J147" s="12"/>
      <c r="K147" s="13"/>
      <c r="L147" s="14"/>
      <c r="M147" s="11"/>
    </row>
    <row r="148" spans="1:13" x14ac:dyDescent="0.35">
      <c r="A148" s="42">
        <f t="shared" si="3"/>
        <v>45923</v>
      </c>
      <c r="B148" s="42"/>
      <c r="C148" s="16"/>
      <c r="D148" s="18"/>
      <c r="E148" s="20"/>
      <c r="F148" s="22"/>
      <c r="G148" s="24"/>
      <c r="H148" s="26"/>
      <c r="I148" s="28"/>
      <c r="J148" s="12"/>
      <c r="K148" s="13"/>
      <c r="L148" s="14"/>
      <c r="M148" s="11"/>
    </row>
    <row r="149" spans="1:13" x14ac:dyDescent="0.35">
      <c r="A149" s="42">
        <f t="shared" si="3"/>
        <v>45924</v>
      </c>
      <c r="B149" s="42"/>
      <c r="C149" s="16"/>
      <c r="D149" s="18"/>
      <c r="E149" s="20"/>
      <c r="F149" s="22"/>
      <c r="G149" s="24"/>
      <c r="H149" s="26"/>
      <c r="I149" s="28"/>
      <c r="J149" s="12"/>
      <c r="K149" s="13"/>
      <c r="L149" s="14"/>
      <c r="M149" s="11"/>
    </row>
    <row r="150" spans="1:13" x14ac:dyDescent="0.35">
      <c r="A150" s="42">
        <f t="shared" si="3"/>
        <v>45925</v>
      </c>
      <c r="B150" s="42"/>
      <c r="C150" s="16"/>
      <c r="D150" s="18"/>
      <c r="E150" s="20"/>
      <c r="F150" s="22"/>
      <c r="G150" s="24"/>
      <c r="H150" s="26"/>
      <c r="I150" s="28"/>
      <c r="J150" s="12"/>
      <c r="K150" s="13"/>
      <c r="L150" s="14"/>
      <c r="M150" s="11"/>
    </row>
    <row r="151" spans="1:13" x14ac:dyDescent="0.35">
      <c r="A151" s="42">
        <f t="shared" si="3"/>
        <v>45926</v>
      </c>
      <c r="B151" s="42"/>
      <c r="C151" s="16"/>
      <c r="D151" s="18"/>
      <c r="E151" s="20"/>
      <c r="F151" s="22"/>
      <c r="G151" s="24"/>
      <c r="H151" s="26"/>
      <c r="I151" s="28"/>
      <c r="J151" s="12"/>
      <c r="K151" s="13"/>
      <c r="L151" s="14"/>
      <c r="M151" s="11"/>
    </row>
    <row r="152" spans="1:13" x14ac:dyDescent="0.35">
      <c r="A152" s="42">
        <f t="shared" si="3"/>
        <v>45927</v>
      </c>
      <c r="B152" s="42"/>
      <c r="C152" s="16"/>
      <c r="D152" s="18"/>
      <c r="E152" s="20"/>
      <c r="F152" s="22"/>
      <c r="G152" s="24"/>
      <c r="H152" s="26"/>
      <c r="I152" s="28"/>
      <c r="J152" s="12"/>
      <c r="K152" s="13"/>
      <c r="L152" s="14"/>
      <c r="M152" s="11"/>
    </row>
    <row r="153" spans="1:13" x14ac:dyDescent="0.35">
      <c r="A153" s="42">
        <f t="shared" si="3"/>
        <v>45928</v>
      </c>
      <c r="B153" s="42"/>
      <c r="C153" s="16"/>
      <c r="D153" s="18"/>
      <c r="E153" s="20"/>
      <c r="F153" s="22"/>
      <c r="G153" s="24"/>
      <c r="H153" s="26"/>
      <c r="I153" s="28"/>
      <c r="J153" s="12"/>
      <c r="K153" s="13"/>
      <c r="L153" s="14"/>
      <c r="M153" s="11"/>
    </row>
    <row r="154" spans="1:13" x14ac:dyDescent="0.35">
      <c r="A154" s="42">
        <f t="shared" si="3"/>
        <v>45929</v>
      </c>
      <c r="B154" s="42"/>
      <c r="C154" s="16"/>
      <c r="D154" s="18"/>
      <c r="E154" s="20"/>
      <c r="F154" s="22"/>
      <c r="G154" s="24"/>
      <c r="H154" s="26"/>
      <c r="I154" s="28"/>
      <c r="J154" s="12"/>
      <c r="K154" s="13"/>
      <c r="L154" s="14"/>
      <c r="M154" s="11"/>
    </row>
    <row r="155" spans="1:13" x14ac:dyDescent="0.35">
      <c r="A155" s="42">
        <f t="shared" si="3"/>
        <v>45930</v>
      </c>
      <c r="B155" s="42"/>
      <c r="C155" s="16"/>
      <c r="D155" s="18"/>
      <c r="E155" s="20"/>
      <c r="F155" s="22"/>
      <c r="G155" s="24"/>
      <c r="H155" s="26"/>
      <c r="I155" s="28"/>
      <c r="J155" s="12"/>
      <c r="K155" s="13"/>
      <c r="L155" s="14"/>
      <c r="M155" s="11"/>
    </row>
    <row r="156" spans="1:13" x14ac:dyDescent="0.35">
      <c r="A156" s="42">
        <f t="shared" si="3"/>
        <v>45931</v>
      </c>
      <c r="B156" s="42"/>
      <c r="C156" s="16"/>
      <c r="D156" s="18"/>
      <c r="E156" s="20"/>
      <c r="F156" s="22"/>
      <c r="G156" s="24"/>
      <c r="H156" s="26"/>
      <c r="I156" s="28"/>
      <c r="J156" s="12"/>
      <c r="K156" s="13"/>
      <c r="L156" s="14"/>
      <c r="M156" s="11"/>
    </row>
    <row r="157" spans="1:13" x14ac:dyDescent="0.35">
      <c r="A157" s="42">
        <f t="shared" si="3"/>
        <v>45932</v>
      </c>
      <c r="B157" s="42"/>
      <c r="C157" s="16"/>
      <c r="D157" s="18"/>
      <c r="E157" s="20"/>
      <c r="F157" s="22"/>
      <c r="G157" s="24"/>
      <c r="H157" s="26"/>
      <c r="I157" s="28"/>
      <c r="J157" s="12"/>
      <c r="K157" s="13"/>
      <c r="L157" s="14"/>
      <c r="M157" s="11"/>
    </row>
    <row r="158" spans="1:13" x14ac:dyDescent="0.35">
      <c r="A158" s="42">
        <f t="shared" si="3"/>
        <v>45933</v>
      </c>
      <c r="B158" s="42"/>
      <c r="C158" s="16"/>
      <c r="D158" s="18"/>
      <c r="E158" s="20"/>
      <c r="F158" s="22"/>
      <c r="G158" s="24"/>
      <c r="H158" s="26"/>
      <c r="I158" s="28"/>
      <c r="J158" s="12"/>
      <c r="K158" s="13"/>
      <c r="L158" s="14"/>
      <c r="M158" s="11"/>
    </row>
    <row r="159" spans="1:13" x14ac:dyDescent="0.35">
      <c r="A159" s="42">
        <f t="shared" si="3"/>
        <v>45934</v>
      </c>
      <c r="B159" s="42"/>
      <c r="C159" s="16"/>
      <c r="D159" s="18"/>
      <c r="E159" s="20"/>
      <c r="F159" s="22"/>
      <c r="G159" s="24"/>
      <c r="H159" s="26"/>
      <c r="I159" s="28"/>
      <c r="J159" s="12"/>
      <c r="K159" s="13"/>
      <c r="L159" s="14"/>
      <c r="M159" s="11"/>
    </row>
    <row r="160" spans="1:13" x14ac:dyDescent="0.35">
      <c r="A160" s="42">
        <f t="shared" si="3"/>
        <v>45935</v>
      </c>
      <c r="B160" s="42"/>
      <c r="C160" s="16"/>
      <c r="D160" s="18"/>
      <c r="E160" s="20"/>
      <c r="F160" s="22"/>
      <c r="G160" s="24"/>
      <c r="H160" s="26"/>
      <c r="I160" s="28"/>
      <c r="J160" s="12"/>
      <c r="K160" s="13"/>
      <c r="L160" s="14"/>
      <c r="M160" s="11"/>
    </row>
    <row r="161" spans="1:13" x14ac:dyDescent="0.35">
      <c r="A161" s="42">
        <f t="shared" si="3"/>
        <v>45936</v>
      </c>
      <c r="B161" s="42"/>
      <c r="C161" s="16"/>
      <c r="D161" s="18"/>
      <c r="E161" s="20"/>
      <c r="F161" s="22"/>
      <c r="G161" s="24"/>
      <c r="H161" s="26"/>
      <c r="I161" s="28"/>
      <c r="J161" s="12"/>
      <c r="K161" s="13"/>
      <c r="L161" s="14"/>
      <c r="M161" s="11"/>
    </row>
    <row r="162" spans="1:13" x14ac:dyDescent="0.35">
      <c r="A162" s="42">
        <f t="shared" ref="A162:A225" si="4">A161+1</f>
        <v>45937</v>
      </c>
      <c r="B162" s="42"/>
      <c r="C162" s="16"/>
      <c r="D162" s="18"/>
      <c r="E162" s="20"/>
      <c r="F162" s="22"/>
      <c r="G162" s="24"/>
      <c r="H162" s="26"/>
      <c r="I162" s="28"/>
      <c r="J162" s="12"/>
      <c r="K162" s="13"/>
      <c r="L162" s="14"/>
      <c r="M162" s="11"/>
    </row>
    <row r="163" spans="1:13" x14ac:dyDescent="0.35">
      <c r="A163" s="42">
        <f t="shared" si="4"/>
        <v>45938</v>
      </c>
      <c r="B163" s="42"/>
      <c r="C163" s="16"/>
      <c r="D163" s="18"/>
      <c r="E163" s="20"/>
      <c r="F163" s="22"/>
      <c r="G163" s="24"/>
      <c r="H163" s="26"/>
      <c r="I163" s="28"/>
      <c r="J163" s="12"/>
      <c r="K163" s="13"/>
      <c r="L163" s="14"/>
      <c r="M163" s="11"/>
    </row>
    <row r="164" spans="1:13" x14ac:dyDescent="0.35">
      <c r="A164" s="42">
        <f t="shared" si="4"/>
        <v>45939</v>
      </c>
      <c r="B164" s="42"/>
      <c r="C164" s="16"/>
      <c r="D164" s="18"/>
      <c r="E164" s="20"/>
      <c r="F164" s="22"/>
      <c r="G164" s="24"/>
      <c r="H164" s="26"/>
      <c r="I164" s="28"/>
      <c r="J164" s="12"/>
      <c r="K164" s="13"/>
      <c r="L164" s="14"/>
      <c r="M164" s="11"/>
    </row>
    <row r="165" spans="1:13" x14ac:dyDescent="0.35">
      <c r="A165" s="42">
        <f t="shared" si="4"/>
        <v>45940</v>
      </c>
      <c r="B165" s="42"/>
      <c r="C165" s="16"/>
      <c r="D165" s="18"/>
      <c r="E165" s="20"/>
      <c r="F165" s="22"/>
      <c r="G165" s="24"/>
      <c r="H165" s="26"/>
      <c r="I165" s="28"/>
      <c r="J165" s="12"/>
      <c r="K165" s="13"/>
      <c r="L165" s="14"/>
      <c r="M165" s="11"/>
    </row>
    <row r="166" spans="1:13" x14ac:dyDescent="0.35">
      <c r="A166" s="42">
        <f t="shared" si="4"/>
        <v>45941</v>
      </c>
      <c r="B166" s="42"/>
      <c r="C166" s="16"/>
      <c r="D166" s="18"/>
      <c r="E166" s="20"/>
      <c r="F166" s="22"/>
      <c r="G166" s="24"/>
      <c r="H166" s="26"/>
      <c r="I166" s="28"/>
      <c r="J166" s="12"/>
      <c r="K166" s="13"/>
      <c r="L166" s="14"/>
      <c r="M166" s="11"/>
    </row>
    <row r="167" spans="1:13" x14ac:dyDescent="0.35">
      <c r="A167" s="42">
        <f t="shared" si="4"/>
        <v>45942</v>
      </c>
      <c r="B167" s="42"/>
      <c r="C167" s="16"/>
      <c r="D167" s="18"/>
      <c r="E167" s="20"/>
      <c r="F167" s="22"/>
      <c r="G167" s="24"/>
      <c r="H167" s="26"/>
      <c r="I167" s="28"/>
      <c r="J167" s="12"/>
      <c r="K167" s="13"/>
      <c r="L167" s="14"/>
      <c r="M167" s="11"/>
    </row>
    <row r="168" spans="1:13" x14ac:dyDescent="0.35">
      <c r="A168" s="42">
        <f t="shared" si="4"/>
        <v>45943</v>
      </c>
      <c r="B168" s="42"/>
      <c r="C168" s="16"/>
      <c r="D168" s="18"/>
      <c r="E168" s="20"/>
      <c r="F168" s="22"/>
      <c r="G168" s="24"/>
      <c r="H168" s="26"/>
      <c r="I168" s="28"/>
      <c r="J168" s="12"/>
      <c r="K168" s="13"/>
      <c r="L168" s="14"/>
      <c r="M168" s="11"/>
    </row>
    <row r="169" spans="1:13" x14ac:dyDescent="0.35">
      <c r="A169" s="42">
        <f t="shared" si="4"/>
        <v>45944</v>
      </c>
      <c r="B169" s="42"/>
      <c r="C169" s="16"/>
      <c r="D169" s="18"/>
      <c r="E169" s="20"/>
      <c r="F169" s="22"/>
      <c r="G169" s="24"/>
      <c r="H169" s="26"/>
      <c r="I169" s="28"/>
      <c r="J169" s="12"/>
      <c r="K169" s="13"/>
      <c r="L169" s="14"/>
      <c r="M169" s="11"/>
    </row>
    <row r="170" spans="1:13" x14ac:dyDescent="0.35">
      <c r="A170" s="42">
        <f t="shared" si="4"/>
        <v>45945</v>
      </c>
      <c r="B170" s="42"/>
      <c r="C170" s="16"/>
      <c r="D170" s="18"/>
      <c r="E170" s="20"/>
      <c r="F170" s="22"/>
      <c r="G170" s="24"/>
      <c r="H170" s="26"/>
      <c r="I170" s="28"/>
      <c r="J170" s="12"/>
      <c r="K170" s="13"/>
      <c r="L170" s="14"/>
      <c r="M170" s="11"/>
    </row>
    <row r="171" spans="1:13" x14ac:dyDescent="0.35">
      <c r="A171" s="42">
        <f t="shared" si="4"/>
        <v>45946</v>
      </c>
      <c r="B171" s="42"/>
      <c r="C171" s="16"/>
      <c r="D171" s="18"/>
      <c r="E171" s="20"/>
      <c r="F171" s="22"/>
      <c r="G171" s="24"/>
      <c r="H171" s="26"/>
      <c r="I171" s="28"/>
      <c r="J171" s="12"/>
      <c r="K171" s="13"/>
      <c r="L171" s="14"/>
      <c r="M171" s="11"/>
    </row>
    <row r="172" spans="1:13" x14ac:dyDescent="0.35">
      <c r="A172" s="42">
        <f t="shared" si="4"/>
        <v>45947</v>
      </c>
      <c r="B172" s="42"/>
      <c r="C172" s="16"/>
      <c r="D172" s="18"/>
      <c r="E172" s="20"/>
      <c r="F172" s="22"/>
      <c r="G172" s="24"/>
      <c r="H172" s="26"/>
      <c r="I172" s="28"/>
      <c r="J172" s="12"/>
      <c r="K172" s="13"/>
      <c r="L172" s="14"/>
      <c r="M172" s="11"/>
    </row>
    <row r="173" spans="1:13" x14ac:dyDescent="0.35">
      <c r="A173" s="42">
        <f t="shared" si="4"/>
        <v>45948</v>
      </c>
      <c r="B173" s="42"/>
      <c r="C173" s="16"/>
      <c r="D173" s="18"/>
      <c r="E173" s="20"/>
      <c r="F173" s="22"/>
      <c r="G173" s="24"/>
      <c r="H173" s="26"/>
      <c r="I173" s="28"/>
      <c r="J173" s="12"/>
      <c r="K173" s="13"/>
      <c r="L173" s="14"/>
      <c r="M173" s="11"/>
    </row>
    <row r="174" spans="1:13" x14ac:dyDescent="0.35">
      <c r="A174" s="42">
        <f t="shared" si="4"/>
        <v>45949</v>
      </c>
      <c r="B174" s="42"/>
      <c r="C174" s="16"/>
      <c r="D174" s="18"/>
      <c r="E174" s="20"/>
      <c r="F174" s="22"/>
      <c r="G174" s="24"/>
      <c r="H174" s="26"/>
      <c r="I174" s="28"/>
      <c r="J174" s="12"/>
      <c r="K174" s="13"/>
      <c r="L174" s="14"/>
      <c r="M174" s="11"/>
    </row>
    <row r="175" spans="1:13" x14ac:dyDescent="0.35">
      <c r="A175" s="42">
        <f t="shared" si="4"/>
        <v>45950</v>
      </c>
      <c r="B175" s="42"/>
      <c r="C175" s="16"/>
      <c r="D175" s="18"/>
      <c r="E175" s="20"/>
      <c r="F175" s="22"/>
      <c r="G175" s="24"/>
      <c r="H175" s="26"/>
      <c r="I175" s="28"/>
      <c r="J175" s="12"/>
      <c r="K175" s="13"/>
      <c r="L175" s="14"/>
      <c r="M175" s="11"/>
    </row>
    <row r="176" spans="1:13" x14ac:dyDescent="0.35">
      <c r="A176" s="42">
        <f t="shared" si="4"/>
        <v>45951</v>
      </c>
      <c r="B176" s="42"/>
      <c r="C176" s="16"/>
      <c r="D176" s="18"/>
      <c r="E176" s="20"/>
      <c r="F176" s="22"/>
      <c r="G176" s="24"/>
      <c r="H176" s="26"/>
      <c r="I176" s="28"/>
      <c r="J176" s="12"/>
      <c r="K176" s="13"/>
      <c r="L176" s="14"/>
      <c r="M176" s="11"/>
    </row>
    <row r="177" spans="1:13" x14ac:dyDescent="0.35">
      <c r="A177" s="42">
        <f t="shared" si="4"/>
        <v>45952</v>
      </c>
      <c r="B177" s="42"/>
      <c r="C177" s="16"/>
      <c r="D177" s="18"/>
      <c r="E177" s="20"/>
      <c r="F177" s="22"/>
      <c r="G177" s="24"/>
      <c r="H177" s="26"/>
      <c r="I177" s="28"/>
      <c r="J177" s="12"/>
      <c r="K177" s="13"/>
      <c r="L177" s="14"/>
      <c r="M177" s="11"/>
    </row>
    <row r="178" spans="1:13" x14ac:dyDescent="0.35">
      <c r="A178" s="42">
        <f t="shared" si="4"/>
        <v>45953</v>
      </c>
      <c r="B178" s="42"/>
      <c r="C178" s="16"/>
      <c r="D178" s="18"/>
      <c r="E178" s="20"/>
      <c r="F178" s="22"/>
      <c r="G178" s="24"/>
      <c r="H178" s="26"/>
      <c r="I178" s="28"/>
      <c r="J178" s="12"/>
      <c r="K178" s="13"/>
      <c r="L178" s="14"/>
      <c r="M178" s="11"/>
    </row>
    <row r="179" spans="1:13" x14ac:dyDescent="0.35">
      <c r="A179" s="42">
        <f t="shared" si="4"/>
        <v>45954</v>
      </c>
      <c r="B179" s="42"/>
      <c r="C179" s="16"/>
      <c r="D179" s="18"/>
      <c r="E179" s="20"/>
      <c r="F179" s="22"/>
      <c r="G179" s="24"/>
      <c r="H179" s="26"/>
      <c r="I179" s="28"/>
      <c r="J179" s="12"/>
      <c r="K179" s="13"/>
      <c r="L179" s="14"/>
      <c r="M179" s="11"/>
    </row>
    <row r="180" spans="1:13" x14ac:dyDescent="0.35">
      <c r="A180" s="42">
        <f t="shared" si="4"/>
        <v>45955</v>
      </c>
      <c r="B180" s="42"/>
      <c r="C180" s="16"/>
      <c r="D180" s="18"/>
      <c r="E180" s="20"/>
      <c r="F180" s="22"/>
      <c r="G180" s="24"/>
      <c r="H180" s="26"/>
      <c r="I180" s="28"/>
      <c r="J180" s="12"/>
      <c r="K180" s="13"/>
      <c r="L180" s="14"/>
      <c r="M180" s="11"/>
    </row>
    <row r="181" spans="1:13" x14ac:dyDescent="0.35">
      <c r="A181" s="42">
        <f t="shared" si="4"/>
        <v>45956</v>
      </c>
      <c r="B181" s="42"/>
      <c r="C181" s="16"/>
      <c r="D181" s="18"/>
      <c r="E181" s="20"/>
      <c r="F181" s="22"/>
      <c r="G181" s="24"/>
      <c r="H181" s="26"/>
      <c r="I181" s="28"/>
      <c r="J181" s="12"/>
      <c r="K181" s="13"/>
      <c r="L181" s="14"/>
      <c r="M181" s="11"/>
    </row>
    <row r="182" spans="1:13" x14ac:dyDescent="0.35">
      <c r="A182" s="42">
        <f t="shared" si="4"/>
        <v>45957</v>
      </c>
      <c r="B182" s="42"/>
      <c r="C182" s="16"/>
      <c r="D182" s="18"/>
      <c r="E182" s="20"/>
      <c r="F182" s="22"/>
      <c r="G182" s="24"/>
      <c r="H182" s="26"/>
      <c r="I182" s="28"/>
      <c r="J182" s="12"/>
      <c r="K182" s="13"/>
      <c r="L182" s="14"/>
      <c r="M182" s="11"/>
    </row>
    <row r="183" spans="1:13" x14ac:dyDescent="0.35">
      <c r="A183" s="42">
        <f t="shared" si="4"/>
        <v>45958</v>
      </c>
      <c r="B183" s="42"/>
      <c r="C183" s="16"/>
      <c r="D183" s="18"/>
      <c r="E183" s="20"/>
      <c r="F183" s="22"/>
      <c r="G183" s="24"/>
      <c r="H183" s="26"/>
      <c r="I183" s="28"/>
      <c r="J183" s="12"/>
      <c r="K183" s="13"/>
      <c r="L183" s="14"/>
      <c r="M183" s="11"/>
    </row>
    <row r="184" spans="1:13" x14ac:dyDescent="0.35">
      <c r="A184" s="42">
        <f t="shared" si="4"/>
        <v>45959</v>
      </c>
      <c r="B184" s="42"/>
      <c r="C184" s="16"/>
      <c r="D184" s="18"/>
      <c r="E184" s="20"/>
      <c r="F184" s="22"/>
      <c r="G184" s="24"/>
      <c r="H184" s="26"/>
      <c r="I184" s="28"/>
      <c r="J184" s="12"/>
      <c r="K184" s="13"/>
      <c r="L184" s="14"/>
      <c r="M184" s="11"/>
    </row>
    <row r="185" spans="1:13" x14ac:dyDescent="0.35">
      <c r="A185" s="42">
        <f t="shared" si="4"/>
        <v>45960</v>
      </c>
      <c r="B185" s="42"/>
      <c r="C185" s="16"/>
      <c r="D185" s="18"/>
      <c r="E185" s="20"/>
      <c r="F185" s="22"/>
      <c r="G185" s="24"/>
      <c r="H185" s="26"/>
      <c r="I185" s="28"/>
      <c r="J185" s="12"/>
      <c r="K185" s="13"/>
      <c r="L185" s="14"/>
      <c r="M185" s="11"/>
    </row>
    <row r="186" spans="1:13" x14ac:dyDescent="0.35">
      <c r="A186" s="42">
        <f t="shared" si="4"/>
        <v>45961</v>
      </c>
      <c r="B186" s="42"/>
      <c r="C186" s="16"/>
      <c r="D186" s="18"/>
      <c r="E186" s="20"/>
      <c r="F186" s="22"/>
      <c r="G186" s="24"/>
      <c r="H186" s="26"/>
      <c r="I186" s="28"/>
      <c r="J186" s="12"/>
      <c r="K186" s="13"/>
      <c r="L186" s="14"/>
      <c r="M186" s="11"/>
    </row>
    <row r="187" spans="1:13" x14ac:dyDescent="0.35">
      <c r="A187" s="42">
        <f t="shared" si="4"/>
        <v>45962</v>
      </c>
      <c r="B187" s="42"/>
      <c r="C187" s="16"/>
      <c r="D187" s="18"/>
      <c r="E187" s="20"/>
      <c r="F187" s="22"/>
      <c r="G187" s="24"/>
      <c r="H187" s="26"/>
      <c r="I187" s="28"/>
      <c r="J187" s="12"/>
      <c r="K187" s="13"/>
      <c r="L187" s="14"/>
      <c r="M187" s="11"/>
    </row>
    <row r="188" spans="1:13" x14ac:dyDescent="0.35">
      <c r="A188" s="42">
        <f t="shared" si="4"/>
        <v>45963</v>
      </c>
      <c r="B188" s="42"/>
      <c r="C188" s="16"/>
      <c r="D188" s="18"/>
      <c r="E188" s="20"/>
      <c r="F188" s="22"/>
      <c r="G188" s="24"/>
      <c r="H188" s="26"/>
      <c r="I188" s="28"/>
      <c r="J188" s="12"/>
      <c r="K188" s="13"/>
      <c r="L188" s="14"/>
      <c r="M188" s="11"/>
    </row>
    <row r="189" spans="1:13" x14ac:dyDescent="0.35">
      <c r="A189" s="42">
        <f t="shared" si="4"/>
        <v>45964</v>
      </c>
      <c r="B189" s="42"/>
      <c r="C189" s="16"/>
      <c r="D189" s="18"/>
      <c r="E189" s="20"/>
      <c r="F189" s="22"/>
      <c r="G189" s="24"/>
      <c r="H189" s="26"/>
      <c r="I189" s="28"/>
      <c r="J189" s="12"/>
      <c r="K189" s="13"/>
      <c r="L189" s="14"/>
      <c r="M189" s="11"/>
    </row>
    <row r="190" spans="1:13" x14ac:dyDescent="0.35">
      <c r="A190" s="42">
        <f t="shared" si="4"/>
        <v>45965</v>
      </c>
      <c r="B190" s="42"/>
      <c r="C190" s="16"/>
      <c r="D190" s="18"/>
      <c r="E190" s="20"/>
      <c r="F190" s="22"/>
      <c r="G190" s="24"/>
      <c r="H190" s="26"/>
      <c r="I190" s="28"/>
      <c r="J190" s="12"/>
      <c r="K190" s="13"/>
      <c r="L190" s="14"/>
      <c r="M190" s="11"/>
    </row>
    <row r="191" spans="1:13" x14ac:dyDescent="0.35">
      <c r="A191" s="42">
        <f t="shared" si="4"/>
        <v>45966</v>
      </c>
      <c r="B191" s="42"/>
      <c r="C191" s="16"/>
      <c r="D191" s="18"/>
      <c r="E191" s="20"/>
      <c r="F191" s="22"/>
      <c r="G191" s="24"/>
      <c r="H191" s="26"/>
      <c r="I191" s="28"/>
      <c r="J191" s="12"/>
      <c r="K191" s="13"/>
      <c r="L191" s="14"/>
      <c r="M191" s="11"/>
    </row>
    <row r="192" spans="1:13" x14ac:dyDescent="0.35">
      <c r="A192" s="42">
        <f t="shared" si="4"/>
        <v>45967</v>
      </c>
      <c r="B192" s="42"/>
      <c r="C192" s="16"/>
      <c r="D192" s="18"/>
      <c r="E192" s="20"/>
      <c r="F192" s="22"/>
      <c r="G192" s="24"/>
      <c r="H192" s="26"/>
      <c r="I192" s="28"/>
      <c r="J192" s="12"/>
      <c r="K192" s="13"/>
      <c r="L192" s="14"/>
      <c r="M192" s="11"/>
    </row>
    <row r="193" spans="1:13" x14ac:dyDescent="0.35">
      <c r="A193" s="42">
        <f t="shared" si="4"/>
        <v>45968</v>
      </c>
      <c r="B193" s="42"/>
      <c r="C193" s="16"/>
      <c r="D193" s="18"/>
      <c r="E193" s="20"/>
      <c r="F193" s="22"/>
      <c r="G193" s="24"/>
      <c r="H193" s="26"/>
      <c r="I193" s="28"/>
      <c r="J193" s="12"/>
      <c r="K193" s="13"/>
      <c r="L193" s="14"/>
      <c r="M193" s="11"/>
    </row>
    <row r="194" spans="1:13" x14ac:dyDescent="0.35">
      <c r="A194" s="42">
        <f t="shared" si="4"/>
        <v>45969</v>
      </c>
      <c r="B194" s="42"/>
      <c r="C194" s="16"/>
      <c r="D194" s="18"/>
      <c r="E194" s="20"/>
      <c r="F194" s="22"/>
      <c r="G194" s="24"/>
      <c r="H194" s="26"/>
      <c r="I194" s="28"/>
      <c r="J194" s="12"/>
      <c r="K194" s="13"/>
      <c r="L194" s="14"/>
      <c r="M194" s="11"/>
    </row>
    <row r="195" spans="1:13" x14ac:dyDescent="0.35">
      <c r="A195" s="42">
        <f t="shared" si="4"/>
        <v>45970</v>
      </c>
      <c r="B195" s="42"/>
      <c r="C195" s="16"/>
      <c r="D195" s="18"/>
      <c r="E195" s="20"/>
      <c r="F195" s="22"/>
      <c r="G195" s="24"/>
      <c r="H195" s="26"/>
      <c r="I195" s="28"/>
      <c r="J195" s="12"/>
      <c r="K195" s="13"/>
      <c r="L195" s="14"/>
      <c r="M195" s="11"/>
    </row>
    <row r="196" spans="1:13" x14ac:dyDescent="0.35">
      <c r="A196" s="42">
        <f t="shared" si="4"/>
        <v>45971</v>
      </c>
      <c r="B196" s="42"/>
      <c r="C196" s="16"/>
      <c r="D196" s="18"/>
      <c r="E196" s="20"/>
      <c r="F196" s="22"/>
      <c r="G196" s="24"/>
      <c r="H196" s="26"/>
      <c r="I196" s="28"/>
      <c r="J196" s="12"/>
      <c r="K196" s="13"/>
      <c r="L196" s="14"/>
      <c r="M196" s="11"/>
    </row>
    <row r="197" spans="1:13" x14ac:dyDescent="0.35">
      <c r="A197" s="42">
        <f t="shared" si="4"/>
        <v>45972</v>
      </c>
      <c r="B197" s="42"/>
      <c r="C197" s="16"/>
      <c r="D197" s="18"/>
      <c r="E197" s="20"/>
      <c r="F197" s="22"/>
      <c r="G197" s="24"/>
      <c r="H197" s="26"/>
      <c r="I197" s="28"/>
      <c r="J197" s="12"/>
      <c r="K197" s="13"/>
      <c r="L197" s="14"/>
      <c r="M197" s="11"/>
    </row>
    <row r="198" spans="1:13" x14ac:dyDescent="0.35">
      <c r="A198" s="42">
        <f t="shared" si="4"/>
        <v>45973</v>
      </c>
      <c r="B198" s="42"/>
      <c r="C198" s="16"/>
      <c r="D198" s="18"/>
      <c r="E198" s="20"/>
      <c r="F198" s="22"/>
      <c r="G198" s="24"/>
      <c r="H198" s="26"/>
      <c r="I198" s="28"/>
      <c r="J198" s="12"/>
      <c r="K198" s="13"/>
      <c r="L198" s="14"/>
      <c r="M198" s="11"/>
    </row>
    <row r="199" spans="1:13" x14ac:dyDescent="0.35">
      <c r="A199" s="42">
        <f t="shared" si="4"/>
        <v>45974</v>
      </c>
      <c r="B199" s="42"/>
      <c r="C199" s="16"/>
      <c r="D199" s="18"/>
      <c r="E199" s="20"/>
      <c r="F199" s="22"/>
      <c r="G199" s="24"/>
      <c r="H199" s="26"/>
      <c r="I199" s="28"/>
      <c r="J199" s="12"/>
      <c r="K199" s="13"/>
      <c r="L199" s="14"/>
      <c r="M199" s="11"/>
    </row>
    <row r="200" spans="1:13" x14ac:dyDescent="0.35">
      <c r="A200" s="42">
        <f t="shared" si="4"/>
        <v>45975</v>
      </c>
      <c r="B200" s="42"/>
      <c r="C200" s="16"/>
      <c r="D200" s="18"/>
      <c r="E200" s="20"/>
      <c r="F200" s="22"/>
      <c r="G200" s="24"/>
      <c r="H200" s="26"/>
      <c r="I200" s="28"/>
      <c r="J200" s="12"/>
      <c r="K200" s="13"/>
      <c r="L200" s="14"/>
      <c r="M200" s="11"/>
    </row>
    <row r="201" spans="1:13" x14ac:dyDescent="0.35">
      <c r="A201" s="42">
        <f t="shared" si="4"/>
        <v>45976</v>
      </c>
      <c r="B201" s="42"/>
      <c r="C201" s="16"/>
      <c r="D201" s="18"/>
      <c r="E201" s="20"/>
      <c r="F201" s="22"/>
      <c r="G201" s="24"/>
      <c r="H201" s="26"/>
      <c r="I201" s="28"/>
      <c r="J201" s="12"/>
      <c r="K201" s="13"/>
      <c r="L201" s="14"/>
      <c r="M201" s="11"/>
    </row>
    <row r="202" spans="1:13" x14ac:dyDescent="0.35">
      <c r="A202" s="42">
        <f t="shared" si="4"/>
        <v>45977</v>
      </c>
      <c r="B202" s="42"/>
      <c r="C202" s="16"/>
      <c r="D202" s="18"/>
      <c r="E202" s="20"/>
      <c r="F202" s="22"/>
      <c r="G202" s="24"/>
      <c r="H202" s="26"/>
      <c r="I202" s="28"/>
      <c r="J202" s="12"/>
      <c r="K202" s="13"/>
      <c r="L202" s="14"/>
      <c r="M202" s="11"/>
    </row>
    <row r="203" spans="1:13" x14ac:dyDescent="0.35">
      <c r="A203" s="42">
        <f t="shared" si="4"/>
        <v>45978</v>
      </c>
      <c r="B203" s="42"/>
      <c r="C203" s="16"/>
      <c r="D203" s="18"/>
      <c r="E203" s="20"/>
      <c r="F203" s="22"/>
      <c r="G203" s="24"/>
      <c r="H203" s="26"/>
      <c r="I203" s="28"/>
      <c r="J203" s="12"/>
      <c r="K203" s="13"/>
      <c r="L203" s="14"/>
      <c r="M203" s="11"/>
    </row>
    <row r="204" spans="1:13" x14ac:dyDescent="0.35">
      <c r="A204" s="42">
        <f t="shared" si="4"/>
        <v>45979</v>
      </c>
      <c r="B204" s="42"/>
      <c r="C204" s="16"/>
      <c r="D204" s="18"/>
      <c r="E204" s="20"/>
      <c r="F204" s="22"/>
      <c r="G204" s="24"/>
      <c r="H204" s="26"/>
      <c r="I204" s="28"/>
      <c r="J204" s="12"/>
      <c r="K204" s="13"/>
      <c r="L204" s="14"/>
      <c r="M204" s="11"/>
    </row>
    <row r="205" spans="1:13" x14ac:dyDescent="0.35">
      <c r="A205" s="42">
        <f t="shared" si="4"/>
        <v>45980</v>
      </c>
      <c r="B205" s="42"/>
      <c r="C205" s="16"/>
      <c r="D205" s="18"/>
      <c r="E205" s="20"/>
      <c r="F205" s="22"/>
      <c r="G205" s="24"/>
      <c r="H205" s="26"/>
      <c r="I205" s="28"/>
      <c r="J205" s="12"/>
      <c r="K205" s="13"/>
      <c r="L205" s="14"/>
      <c r="M205" s="11"/>
    </row>
    <row r="206" spans="1:13" x14ac:dyDescent="0.35">
      <c r="A206" s="42">
        <f t="shared" si="4"/>
        <v>45981</v>
      </c>
      <c r="B206" s="42"/>
      <c r="C206" s="16"/>
      <c r="D206" s="18"/>
      <c r="E206" s="20"/>
      <c r="F206" s="22"/>
      <c r="G206" s="24"/>
      <c r="H206" s="26"/>
      <c r="I206" s="28"/>
      <c r="J206" s="12"/>
      <c r="K206" s="13"/>
      <c r="L206" s="14"/>
      <c r="M206" s="11"/>
    </row>
    <row r="207" spans="1:13" x14ac:dyDescent="0.35">
      <c r="A207" s="42">
        <f t="shared" si="4"/>
        <v>45982</v>
      </c>
      <c r="B207" s="42"/>
      <c r="C207" s="16"/>
      <c r="D207" s="18"/>
      <c r="E207" s="20"/>
      <c r="F207" s="22"/>
      <c r="G207" s="24"/>
      <c r="H207" s="26"/>
      <c r="I207" s="28"/>
      <c r="J207" s="12"/>
      <c r="K207" s="13"/>
      <c r="L207" s="14"/>
      <c r="M207" s="11"/>
    </row>
    <row r="208" spans="1:13" x14ac:dyDescent="0.35">
      <c r="A208" s="42">
        <f t="shared" si="4"/>
        <v>45983</v>
      </c>
      <c r="B208" s="42"/>
      <c r="C208" s="16"/>
      <c r="D208" s="18"/>
      <c r="E208" s="20"/>
      <c r="F208" s="22"/>
      <c r="G208" s="24"/>
      <c r="H208" s="26"/>
      <c r="I208" s="28"/>
      <c r="J208" s="12"/>
      <c r="K208" s="13"/>
      <c r="L208" s="14"/>
      <c r="M208" s="11"/>
    </row>
    <row r="209" spans="1:13" x14ac:dyDescent="0.35">
      <c r="A209" s="42">
        <f t="shared" si="4"/>
        <v>45984</v>
      </c>
      <c r="B209" s="42"/>
      <c r="C209" s="16"/>
      <c r="D209" s="18"/>
      <c r="E209" s="20"/>
      <c r="F209" s="22"/>
      <c r="G209" s="24"/>
      <c r="H209" s="26"/>
      <c r="I209" s="28"/>
      <c r="J209" s="12"/>
      <c r="K209" s="13"/>
      <c r="L209" s="14"/>
      <c r="M209" s="11"/>
    </row>
    <row r="210" spans="1:13" x14ac:dyDescent="0.35">
      <c r="A210" s="42">
        <f t="shared" si="4"/>
        <v>45985</v>
      </c>
      <c r="B210" s="42"/>
      <c r="C210" s="16"/>
      <c r="D210" s="18"/>
      <c r="E210" s="20"/>
      <c r="F210" s="22"/>
      <c r="G210" s="24"/>
      <c r="H210" s="26"/>
      <c r="I210" s="28"/>
      <c r="J210" s="12"/>
      <c r="K210" s="13"/>
      <c r="L210" s="14"/>
      <c r="M210" s="11"/>
    </row>
    <row r="211" spans="1:13" x14ac:dyDescent="0.35">
      <c r="A211" s="42">
        <f t="shared" si="4"/>
        <v>45986</v>
      </c>
      <c r="B211" s="42"/>
      <c r="C211" s="16"/>
      <c r="D211" s="18"/>
      <c r="E211" s="20"/>
      <c r="F211" s="22"/>
      <c r="G211" s="24"/>
      <c r="H211" s="26"/>
      <c r="I211" s="28"/>
      <c r="J211" s="12"/>
      <c r="K211" s="13"/>
      <c r="L211" s="14"/>
      <c r="M211" s="11"/>
    </row>
    <row r="212" spans="1:13" x14ac:dyDescent="0.35">
      <c r="A212" s="42">
        <f t="shared" si="4"/>
        <v>45987</v>
      </c>
      <c r="B212" s="42"/>
      <c r="C212" s="16"/>
      <c r="D212" s="18"/>
      <c r="E212" s="20"/>
      <c r="F212" s="22"/>
      <c r="G212" s="24"/>
      <c r="H212" s="26"/>
      <c r="I212" s="28"/>
      <c r="J212" s="12"/>
      <c r="K212" s="13"/>
      <c r="L212" s="14"/>
      <c r="M212" s="11"/>
    </row>
    <row r="213" spans="1:13" x14ac:dyDescent="0.35">
      <c r="A213" s="42">
        <f t="shared" si="4"/>
        <v>45988</v>
      </c>
      <c r="B213" s="42"/>
      <c r="C213" s="16"/>
      <c r="D213" s="18"/>
      <c r="E213" s="20"/>
      <c r="F213" s="22"/>
      <c r="G213" s="24"/>
      <c r="H213" s="26"/>
      <c r="I213" s="28"/>
      <c r="J213" s="12"/>
      <c r="K213" s="13"/>
      <c r="L213" s="14"/>
      <c r="M213" s="11"/>
    </row>
    <row r="214" spans="1:13" x14ac:dyDescent="0.35">
      <c r="A214" s="42">
        <f t="shared" si="4"/>
        <v>45989</v>
      </c>
      <c r="B214" s="42"/>
      <c r="C214" s="16"/>
      <c r="D214" s="18"/>
      <c r="E214" s="20"/>
      <c r="F214" s="22"/>
      <c r="G214" s="24"/>
      <c r="H214" s="26"/>
      <c r="I214" s="28"/>
      <c r="J214" s="12"/>
      <c r="K214" s="13"/>
      <c r="L214" s="14"/>
      <c r="M214" s="11"/>
    </row>
    <row r="215" spans="1:13" x14ac:dyDescent="0.35">
      <c r="A215" s="42">
        <f t="shared" si="4"/>
        <v>45990</v>
      </c>
      <c r="B215" s="42"/>
      <c r="C215" s="16"/>
      <c r="D215" s="18"/>
      <c r="E215" s="20"/>
      <c r="F215" s="22"/>
      <c r="G215" s="24"/>
      <c r="H215" s="26"/>
      <c r="I215" s="28"/>
      <c r="J215" s="12"/>
      <c r="K215" s="13"/>
      <c r="L215" s="14"/>
      <c r="M215" s="11"/>
    </row>
    <row r="216" spans="1:13" x14ac:dyDescent="0.35">
      <c r="A216" s="42">
        <f t="shared" si="4"/>
        <v>45991</v>
      </c>
      <c r="B216" s="42"/>
      <c r="C216" s="16"/>
      <c r="D216" s="18"/>
      <c r="E216" s="20"/>
      <c r="F216" s="22"/>
      <c r="G216" s="24"/>
      <c r="H216" s="26"/>
      <c r="I216" s="28"/>
      <c r="J216" s="12"/>
      <c r="K216" s="13"/>
      <c r="L216" s="14"/>
      <c r="M216" s="11"/>
    </row>
    <row r="217" spans="1:13" x14ac:dyDescent="0.35">
      <c r="A217" s="42">
        <f t="shared" si="4"/>
        <v>45992</v>
      </c>
      <c r="B217" s="42"/>
      <c r="C217" s="16"/>
      <c r="D217" s="18"/>
      <c r="E217" s="20"/>
      <c r="F217" s="22"/>
      <c r="G217" s="24"/>
      <c r="H217" s="26"/>
      <c r="I217" s="28"/>
      <c r="J217" s="12"/>
      <c r="K217" s="13"/>
      <c r="L217" s="14"/>
      <c r="M217" s="11"/>
    </row>
    <row r="218" spans="1:13" x14ac:dyDescent="0.35">
      <c r="A218" s="42">
        <f t="shared" si="4"/>
        <v>45993</v>
      </c>
      <c r="B218" s="42"/>
      <c r="C218" s="16"/>
      <c r="D218" s="18"/>
      <c r="E218" s="20"/>
      <c r="F218" s="22"/>
      <c r="G218" s="24"/>
      <c r="H218" s="26"/>
      <c r="I218" s="28"/>
      <c r="J218" s="12"/>
      <c r="K218" s="13"/>
      <c r="L218" s="14"/>
      <c r="M218" s="11"/>
    </row>
    <row r="219" spans="1:13" x14ac:dyDescent="0.35">
      <c r="A219" s="42">
        <f t="shared" si="4"/>
        <v>45994</v>
      </c>
      <c r="B219" s="42"/>
      <c r="C219" s="16"/>
      <c r="D219" s="18"/>
      <c r="E219" s="20"/>
      <c r="F219" s="22"/>
      <c r="G219" s="24"/>
      <c r="H219" s="26"/>
      <c r="I219" s="28"/>
      <c r="J219" s="12"/>
      <c r="K219" s="13"/>
      <c r="L219" s="14"/>
      <c r="M219" s="11"/>
    </row>
    <row r="220" spans="1:13" x14ac:dyDescent="0.35">
      <c r="A220" s="42">
        <f t="shared" si="4"/>
        <v>45995</v>
      </c>
      <c r="B220" s="42"/>
      <c r="C220" s="16"/>
      <c r="D220" s="18"/>
      <c r="E220" s="20"/>
      <c r="F220" s="22"/>
      <c r="G220" s="24"/>
      <c r="H220" s="26"/>
      <c r="I220" s="28"/>
      <c r="J220" s="12"/>
      <c r="K220" s="13"/>
      <c r="L220" s="14"/>
      <c r="M220" s="11"/>
    </row>
    <row r="221" spans="1:13" x14ac:dyDescent="0.35">
      <c r="A221" s="42">
        <f t="shared" si="4"/>
        <v>45996</v>
      </c>
      <c r="B221" s="42"/>
      <c r="C221" s="16"/>
      <c r="D221" s="18"/>
      <c r="E221" s="20"/>
      <c r="F221" s="22"/>
      <c r="G221" s="24"/>
      <c r="H221" s="26"/>
      <c r="I221" s="28"/>
      <c r="J221" s="12"/>
      <c r="K221" s="13"/>
      <c r="L221" s="14"/>
      <c r="M221" s="11"/>
    </row>
    <row r="222" spans="1:13" x14ac:dyDescent="0.35">
      <c r="A222" s="42">
        <f t="shared" si="4"/>
        <v>45997</v>
      </c>
      <c r="B222" s="42"/>
      <c r="C222" s="16"/>
      <c r="D222" s="18"/>
      <c r="E222" s="20"/>
      <c r="F222" s="22"/>
      <c r="G222" s="24"/>
      <c r="H222" s="26"/>
      <c r="I222" s="28"/>
      <c r="J222" s="12"/>
      <c r="K222" s="13"/>
      <c r="L222" s="14"/>
      <c r="M222" s="11"/>
    </row>
    <row r="223" spans="1:13" x14ac:dyDescent="0.35">
      <c r="A223" s="42">
        <f t="shared" si="4"/>
        <v>45998</v>
      </c>
      <c r="B223" s="42"/>
      <c r="C223" s="16"/>
      <c r="D223" s="18"/>
      <c r="E223" s="20"/>
      <c r="F223" s="22"/>
      <c r="G223" s="24"/>
      <c r="H223" s="26"/>
      <c r="I223" s="28"/>
      <c r="J223" s="12"/>
      <c r="K223" s="13"/>
      <c r="L223" s="14"/>
      <c r="M223" s="11"/>
    </row>
    <row r="224" spans="1:13" x14ac:dyDescent="0.35">
      <c r="A224" s="42">
        <f t="shared" si="4"/>
        <v>45999</v>
      </c>
      <c r="B224" s="42"/>
      <c r="C224" s="16"/>
      <c r="D224" s="18"/>
      <c r="E224" s="20"/>
      <c r="F224" s="22"/>
      <c r="G224" s="24"/>
      <c r="H224" s="26"/>
      <c r="I224" s="28"/>
      <c r="J224" s="12"/>
      <c r="K224" s="13"/>
      <c r="L224" s="14"/>
      <c r="M224" s="11"/>
    </row>
    <row r="225" spans="1:13" x14ac:dyDescent="0.35">
      <c r="A225" s="42">
        <f t="shared" si="4"/>
        <v>46000</v>
      </c>
      <c r="B225" s="42"/>
      <c r="C225" s="16"/>
      <c r="D225" s="18"/>
      <c r="E225" s="20"/>
      <c r="F225" s="22"/>
      <c r="G225" s="24"/>
      <c r="H225" s="26"/>
      <c r="I225" s="28"/>
      <c r="J225" s="12"/>
      <c r="K225" s="13"/>
      <c r="L225" s="14"/>
      <c r="M225" s="11"/>
    </row>
    <row r="226" spans="1:13" x14ac:dyDescent="0.35">
      <c r="A226" s="42">
        <f t="shared" ref="A226:A247" si="5">A225+1</f>
        <v>46001</v>
      </c>
      <c r="B226" s="42"/>
      <c r="C226" s="16"/>
      <c r="D226" s="18"/>
      <c r="E226" s="20"/>
      <c r="F226" s="22"/>
      <c r="G226" s="24"/>
      <c r="H226" s="26"/>
      <c r="I226" s="28"/>
      <c r="J226" s="12"/>
      <c r="K226" s="13"/>
      <c r="L226" s="14"/>
      <c r="M226" s="11"/>
    </row>
    <row r="227" spans="1:13" x14ac:dyDescent="0.35">
      <c r="A227" s="42">
        <f t="shared" si="5"/>
        <v>46002</v>
      </c>
      <c r="B227" s="42"/>
      <c r="C227" s="16"/>
      <c r="D227" s="18"/>
      <c r="E227" s="20"/>
      <c r="F227" s="22"/>
      <c r="G227" s="24"/>
      <c r="H227" s="26"/>
      <c r="I227" s="28"/>
      <c r="J227" s="12"/>
      <c r="K227" s="13"/>
      <c r="L227" s="14"/>
      <c r="M227" s="11"/>
    </row>
    <row r="228" spans="1:13" x14ac:dyDescent="0.35">
      <c r="A228" s="42">
        <f t="shared" si="5"/>
        <v>46003</v>
      </c>
      <c r="B228" s="42"/>
      <c r="C228" s="16"/>
      <c r="D228" s="18"/>
      <c r="E228" s="20"/>
      <c r="F228" s="22"/>
      <c r="G228" s="24"/>
      <c r="H228" s="26"/>
      <c r="I228" s="28"/>
      <c r="J228" s="12"/>
      <c r="K228" s="13"/>
      <c r="L228" s="14"/>
      <c r="M228" s="11"/>
    </row>
    <row r="229" spans="1:13" x14ac:dyDescent="0.35">
      <c r="A229" s="42">
        <f t="shared" si="5"/>
        <v>46004</v>
      </c>
      <c r="B229" s="42"/>
      <c r="C229" s="16"/>
      <c r="D229" s="18"/>
      <c r="E229" s="20"/>
      <c r="F229" s="22"/>
      <c r="G229" s="24"/>
      <c r="H229" s="26"/>
      <c r="I229" s="28"/>
      <c r="J229" s="12"/>
      <c r="K229" s="13"/>
      <c r="L229" s="14"/>
      <c r="M229" s="11"/>
    </row>
    <row r="230" spans="1:13" x14ac:dyDescent="0.35">
      <c r="A230" s="42">
        <f t="shared" si="5"/>
        <v>46005</v>
      </c>
      <c r="B230" s="42"/>
      <c r="C230" s="16"/>
      <c r="D230" s="18"/>
      <c r="E230" s="20"/>
      <c r="F230" s="22"/>
      <c r="G230" s="24"/>
      <c r="H230" s="26"/>
      <c r="I230" s="28"/>
      <c r="J230" s="12"/>
      <c r="K230" s="13"/>
      <c r="L230" s="14"/>
      <c r="M230" s="11"/>
    </row>
    <row r="231" spans="1:13" x14ac:dyDescent="0.35">
      <c r="A231" s="42">
        <f t="shared" si="5"/>
        <v>46006</v>
      </c>
      <c r="B231" s="42"/>
      <c r="C231" s="16"/>
      <c r="D231" s="18"/>
      <c r="E231" s="20"/>
      <c r="F231" s="22"/>
      <c r="G231" s="24"/>
      <c r="H231" s="26"/>
      <c r="I231" s="28"/>
      <c r="J231" s="12"/>
      <c r="K231" s="13"/>
      <c r="L231" s="14"/>
      <c r="M231" s="11"/>
    </row>
    <row r="232" spans="1:13" x14ac:dyDescent="0.35">
      <c r="A232" s="42">
        <f t="shared" si="5"/>
        <v>46007</v>
      </c>
      <c r="B232" s="42"/>
      <c r="C232" s="16"/>
      <c r="D232" s="18"/>
      <c r="E232" s="20"/>
      <c r="F232" s="22"/>
      <c r="G232" s="24"/>
      <c r="H232" s="26"/>
      <c r="I232" s="28"/>
      <c r="J232" s="12"/>
      <c r="K232" s="13"/>
      <c r="L232" s="14"/>
      <c r="M232" s="11"/>
    </row>
    <row r="233" spans="1:13" x14ac:dyDescent="0.35">
      <c r="A233" s="42">
        <f t="shared" si="5"/>
        <v>46008</v>
      </c>
      <c r="B233" s="42"/>
      <c r="C233" s="16"/>
      <c r="D233" s="18"/>
      <c r="E233" s="20"/>
      <c r="F233" s="22"/>
      <c r="G233" s="24"/>
      <c r="H233" s="26"/>
      <c r="I233" s="28"/>
      <c r="J233" s="12"/>
      <c r="K233" s="13"/>
      <c r="L233" s="14"/>
      <c r="M233" s="11"/>
    </row>
    <row r="234" spans="1:13" x14ac:dyDescent="0.35">
      <c r="A234" s="42">
        <f t="shared" si="5"/>
        <v>46009</v>
      </c>
      <c r="B234" s="42"/>
      <c r="C234" s="16"/>
      <c r="D234" s="18"/>
      <c r="E234" s="20"/>
      <c r="F234" s="22"/>
      <c r="G234" s="24"/>
      <c r="H234" s="26"/>
      <c r="I234" s="28"/>
      <c r="J234" s="12"/>
      <c r="K234" s="13"/>
      <c r="L234" s="14"/>
      <c r="M234" s="11"/>
    </row>
    <row r="235" spans="1:13" x14ac:dyDescent="0.35">
      <c r="A235" s="42">
        <f t="shared" si="5"/>
        <v>46010</v>
      </c>
      <c r="B235" s="42"/>
      <c r="C235" s="16"/>
      <c r="D235" s="18"/>
      <c r="E235" s="20"/>
      <c r="F235" s="22"/>
      <c r="G235" s="24"/>
      <c r="H235" s="26"/>
      <c r="I235" s="28"/>
      <c r="J235" s="12"/>
      <c r="K235" s="13"/>
      <c r="L235" s="14"/>
      <c r="M235" s="11"/>
    </row>
    <row r="236" spans="1:13" x14ac:dyDescent="0.35">
      <c r="A236" s="42">
        <f t="shared" si="5"/>
        <v>46011</v>
      </c>
      <c r="B236" s="42"/>
      <c r="C236" s="16"/>
      <c r="D236" s="18"/>
      <c r="E236" s="20"/>
      <c r="F236" s="22"/>
      <c r="G236" s="24"/>
      <c r="H236" s="26"/>
      <c r="I236" s="28"/>
      <c r="J236" s="12"/>
      <c r="K236" s="13"/>
      <c r="L236" s="14"/>
      <c r="M236" s="11"/>
    </row>
    <row r="237" spans="1:13" x14ac:dyDescent="0.35">
      <c r="A237" s="42">
        <f t="shared" si="5"/>
        <v>46012</v>
      </c>
      <c r="B237" s="42"/>
      <c r="C237" s="16"/>
      <c r="D237" s="18"/>
      <c r="E237" s="20"/>
      <c r="F237" s="22"/>
      <c r="G237" s="24"/>
      <c r="H237" s="26"/>
      <c r="I237" s="28"/>
      <c r="J237" s="12"/>
      <c r="K237" s="13"/>
      <c r="L237" s="14"/>
      <c r="M237" s="11"/>
    </row>
    <row r="238" spans="1:13" x14ac:dyDescent="0.35">
      <c r="A238" s="42">
        <f t="shared" si="5"/>
        <v>46013</v>
      </c>
      <c r="B238" s="42"/>
      <c r="C238" s="16"/>
      <c r="D238" s="18"/>
      <c r="E238" s="20"/>
      <c r="F238" s="22"/>
      <c r="G238" s="24"/>
      <c r="H238" s="26"/>
      <c r="I238" s="28"/>
      <c r="J238" s="12"/>
      <c r="K238" s="13"/>
      <c r="L238" s="14"/>
      <c r="M238" s="11"/>
    </row>
    <row r="239" spans="1:13" x14ac:dyDescent="0.35">
      <c r="A239" s="42">
        <f t="shared" si="5"/>
        <v>46014</v>
      </c>
      <c r="B239" s="42"/>
      <c r="C239" s="16"/>
      <c r="D239" s="18"/>
      <c r="E239" s="20"/>
      <c r="F239" s="22"/>
      <c r="G239" s="24"/>
      <c r="H239" s="26"/>
      <c r="I239" s="28"/>
      <c r="J239" s="12"/>
      <c r="K239" s="13"/>
      <c r="L239" s="14"/>
      <c r="M239" s="11"/>
    </row>
    <row r="240" spans="1:13" x14ac:dyDescent="0.35">
      <c r="A240" s="42">
        <f t="shared" si="5"/>
        <v>46015</v>
      </c>
      <c r="B240" s="42"/>
      <c r="C240" s="16"/>
      <c r="D240" s="18"/>
      <c r="E240" s="20"/>
      <c r="F240" s="22"/>
      <c r="G240" s="24"/>
      <c r="H240" s="26"/>
      <c r="I240" s="28"/>
      <c r="J240" s="12"/>
      <c r="K240" s="13"/>
      <c r="L240" s="14"/>
      <c r="M240" s="11"/>
    </row>
    <row r="241" spans="1:13" x14ac:dyDescent="0.35">
      <c r="A241" s="42">
        <f t="shared" si="5"/>
        <v>46016</v>
      </c>
      <c r="B241" s="42"/>
      <c r="C241" s="16"/>
      <c r="D241" s="18"/>
      <c r="E241" s="20"/>
      <c r="F241" s="22"/>
      <c r="G241" s="24"/>
      <c r="H241" s="26"/>
      <c r="I241" s="28"/>
      <c r="J241" s="12"/>
      <c r="K241" s="13"/>
      <c r="L241" s="14"/>
      <c r="M241" s="11"/>
    </row>
    <row r="242" spans="1:13" x14ac:dyDescent="0.35">
      <c r="A242" s="42">
        <f t="shared" si="5"/>
        <v>46017</v>
      </c>
      <c r="B242" s="42"/>
      <c r="C242" s="16"/>
      <c r="D242" s="18"/>
      <c r="E242" s="20"/>
      <c r="F242" s="22"/>
      <c r="G242" s="24"/>
      <c r="H242" s="26"/>
      <c r="I242" s="28"/>
      <c r="J242" s="12"/>
      <c r="K242" s="13"/>
      <c r="L242" s="14"/>
      <c r="M242" s="11"/>
    </row>
    <row r="243" spans="1:13" x14ac:dyDescent="0.35">
      <c r="A243" s="42">
        <f t="shared" si="5"/>
        <v>46018</v>
      </c>
      <c r="B243" s="42"/>
      <c r="C243" s="16"/>
      <c r="D243" s="18"/>
      <c r="E243" s="20"/>
      <c r="F243" s="22"/>
      <c r="G243" s="24"/>
      <c r="H243" s="26"/>
      <c r="I243" s="28"/>
      <c r="J243" s="12"/>
      <c r="K243" s="13"/>
      <c r="L243" s="14"/>
      <c r="M243" s="11"/>
    </row>
    <row r="244" spans="1:13" x14ac:dyDescent="0.35">
      <c r="A244" s="42">
        <f t="shared" si="5"/>
        <v>46019</v>
      </c>
      <c r="B244" s="42"/>
      <c r="C244" s="16"/>
      <c r="D244" s="18"/>
      <c r="E244" s="20"/>
      <c r="F244" s="22"/>
      <c r="G244" s="24"/>
      <c r="H244" s="26"/>
      <c r="I244" s="28"/>
      <c r="J244" s="12"/>
      <c r="K244" s="13"/>
      <c r="L244" s="14"/>
      <c r="M244" s="11"/>
    </row>
    <row r="245" spans="1:13" x14ac:dyDescent="0.35">
      <c r="A245" s="42">
        <f t="shared" si="5"/>
        <v>46020</v>
      </c>
      <c r="B245" s="42"/>
      <c r="C245" s="16"/>
      <c r="D245" s="18"/>
      <c r="E245" s="20"/>
      <c r="F245" s="22"/>
      <c r="G245" s="24"/>
      <c r="H245" s="26"/>
      <c r="I245" s="28"/>
      <c r="J245" s="12"/>
      <c r="K245" s="13"/>
      <c r="L245" s="14"/>
      <c r="M245" s="11"/>
    </row>
    <row r="246" spans="1:13" x14ac:dyDescent="0.35">
      <c r="A246" s="42">
        <f t="shared" si="5"/>
        <v>46021</v>
      </c>
      <c r="B246" s="42"/>
      <c r="C246" s="16"/>
      <c r="D246" s="18"/>
      <c r="E246" s="20"/>
      <c r="F246" s="22"/>
      <c r="G246" s="24"/>
      <c r="H246" s="26"/>
      <c r="I246" s="28"/>
      <c r="J246" s="12"/>
      <c r="K246" s="13"/>
      <c r="L246" s="14"/>
      <c r="M246" s="11"/>
    </row>
    <row r="247" spans="1:13" x14ac:dyDescent="0.35">
      <c r="A247" s="42">
        <f t="shared" si="5"/>
        <v>46022</v>
      </c>
      <c r="B247" s="42"/>
      <c r="C247" s="16"/>
      <c r="D247" s="18"/>
      <c r="E247" s="20"/>
      <c r="F247" s="22"/>
      <c r="G247" s="24"/>
      <c r="H247" s="26"/>
      <c r="I247" s="28"/>
      <c r="J247" s="12"/>
      <c r="K247" s="13"/>
      <c r="L247" s="14"/>
      <c r="M247" s="11"/>
    </row>
  </sheetData>
  <autoFilter ref="A2:M32">
    <sortState ref="A3:M32">
      <sortCondition ref="A3:A32"/>
    </sortState>
  </autoFilter>
  <sortState ref="A4:M14">
    <sortCondition ref="A4:A14"/>
  </sortState>
  <mergeCells count="1">
    <mergeCell ref="A1:M1"/>
  </mergeCells>
  <conditionalFormatting sqref="E2:M2 E19:M32 E3:J4 E7:J10 L3:M4 L7:M10 E17:J18 L17:M18">
    <cfRule type="timePeriod" dxfId="123" priority="19" timePeriod="thisMonth">
      <formula>AND(MONTH(E2)=MONTH(TODAY()),YEAR(E2)=YEAR(TODAY()))</formula>
    </cfRule>
  </conditionalFormatting>
  <conditionalFormatting sqref="E12:M12 H13:M13 E11:J11 L11:M11 E14:J14 H15:J18 L14:M18">
    <cfRule type="timePeriod" dxfId="122" priority="18" timePeriod="thisMonth">
      <formula>AND(MONTH(E11)=MONTH(TODAY()),YEAR(E11)=YEAR(TODAY()))</formula>
    </cfRule>
  </conditionalFormatting>
  <conditionalFormatting sqref="E13:G13">
    <cfRule type="timePeriod" dxfId="121" priority="17" timePeriod="thisMonth">
      <formula>AND(MONTH(E13)=MONTH(TODAY()),YEAR(E13)=YEAR(TODAY()))</formula>
    </cfRule>
  </conditionalFormatting>
  <conditionalFormatting sqref="E14:G18">
    <cfRule type="timePeriod" dxfId="120" priority="16" timePeriod="thisMonth">
      <formula>AND(MONTH(E14)=MONTH(TODAY()),YEAR(E14)=YEAR(TODAY()))</formula>
    </cfRule>
  </conditionalFormatting>
  <conditionalFormatting sqref="E33:M33">
    <cfRule type="timePeriod" dxfId="119" priority="15" timePeriod="thisMonth">
      <formula>AND(MONTH(E33)=MONTH(TODAY()),YEAR(E33)=YEAR(TODAY()))</formula>
    </cfRule>
  </conditionalFormatting>
  <conditionalFormatting sqref="A5:B6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{00208F56-B505-4CB2-8985-C35A4F742D27}</x14:id>
        </ext>
      </extLst>
    </cfRule>
  </conditionalFormatting>
  <conditionalFormatting sqref="A12:B13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{BCD81941-BF82-4D9F-AE08-508B44F0FDC0}</x14:id>
        </ext>
      </extLst>
    </cfRule>
  </conditionalFormatting>
  <conditionalFormatting sqref="A19:B20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{A82EB770-DFDC-4BDE-9F55-02AC6E166336}</x14:id>
        </ext>
      </extLst>
    </cfRule>
  </conditionalFormatting>
  <conditionalFormatting sqref="A26:B27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{566E3F18-7EA3-4C6A-8DD8-CD8099C2BFD1}</x14:id>
        </ext>
      </extLst>
    </cfRule>
  </conditionalFormatting>
  <conditionalFormatting sqref="E34:M247">
    <cfRule type="timePeriod" dxfId="118" priority="8" timePeriod="thisMonth">
      <formula>AND(MONTH(E34)=MONTH(TODAY()),YEAR(E34)=YEAR(TODAY()))</formula>
    </cfRule>
  </conditionalFormatting>
  <conditionalFormatting sqref="E5:J6 L5:M6">
    <cfRule type="timePeriod" dxfId="117" priority="7" timePeriod="thisMonth">
      <formula>AND(MONTH(E5)=MONTH(TODAY()),YEAR(E5)=YEAR(TODAY()))</formula>
    </cfRule>
  </conditionalFormatting>
  <conditionalFormatting sqref="E15:G15">
    <cfRule type="timePeriod" dxfId="116" priority="6" timePeriod="thisMonth">
      <formula>AND(MONTH(E15)=MONTH(TODAY()),YEAR(E15)=YEAR(TODAY()))</formula>
    </cfRule>
  </conditionalFormatting>
  <conditionalFormatting sqref="J3:J247">
    <cfRule type="containsText" dxfId="115" priority="1" operator="containsText" text="In Progress ">
      <formula>NOT(ISERROR(SEARCH("In Progress ",J3)))</formula>
    </cfRule>
    <cfRule type="containsText" dxfId="114" priority="2" operator="containsText" text="Closed">
      <formula>NOT(ISERROR(SEARCH("Closed",J3)))</formula>
    </cfRule>
    <cfRule type="containsText" dxfId="113" priority="3" operator="containsText" text="Pending">
      <formula>NOT(ISERROR(SEARCH("Pending",J3)))</formula>
    </cfRule>
    <cfRule type="containsText" dxfId="112" priority="4" operator="containsText" text="Closed">
      <formula>NOT(ISERROR(SEARCH("Closed",J3)))</formula>
    </cfRule>
    <cfRule type="containsText" dxfId="111" priority="5" operator="containsText" text="In Progress ">
      <formula>NOT(ISERROR(SEARCH("In Progress ",J3)))</formula>
    </cfRule>
  </conditionalFormatting>
  <pageMargins left="0.7" right="0.7" top="0.75" bottom="0.75" header="0.3" footer="0.3"/>
  <pageSetup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208F56-B505-4CB2-8985-C35A4F742D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A5:B6</xm:sqref>
        </x14:conditionalFormatting>
        <x14:conditionalFormatting xmlns:xm="http://schemas.microsoft.com/office/excel/2006/main">
          <x14:cfRule type="dataBar" id="{BCD81941-BF82-4D9F-AE08-508B44F0FD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A12:B13</xm:sqref>
        </x14:conditionalFormatting>
        <x14:conditionalFormatting xmlns:xm="http://schemas.microsoft.com/office/excel/2006/main">
          <x14:cfRule type="dataBar" id="{A82EB770-DFDC-4BDE-9F55-02AC6E1663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A19:B20</xm:sqref>
        </x14:conditionalFormatting>
        <x14:conditionalFormatting xmlns:xm="http://schemas.microsoft.com/office/excel/2006/main">
          <x14:cfRule type="dataBar" id="{566E3F18-7EA3-4C6A-8DD8-CD8099C2BF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A26:B27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247"/>
  <sheetViews>
    <sheetView view="pageBreakPreview" zoomScale="60" zoomScaleNormal="40" workbookViewId="0">
      <selection activeCell="A2" sqref="A2:J2"/>
    </sheetView>
  </sheetViews>
  <sheetFormatPr defaultColWidth="9" defaultRowHeight="20.5" x14ac:dyDescent="0.35"/>
  <cols>
    <col min="1" max="1" width="15.08984375" style="7" customWidth="1"/>
    <col min="2" max="2" width="37.26953125" style="7" customWidth="1"/>
    <col min="3" max="3" width="44.453125" style="7" customWidth="1"/>
    <col min="4" max="4" width="18.6328125" style="7" customWidth="1"/>
    <col min="5" max="5" width="15.7265625" style="7" customWidth="1"/>
    <col min="6" max="6" width="31.6328125" style="7" customWidth="1"/>
    <col min="7" max="7" width="32.453125" style="7" customWidth="1"/>
    <col min="8" max="8" width="17.90625" style="7" customWidth="1"/>
    <col min="9" max="9" width="15.453125" style="7" customWidth="1"/>
    <col min="10" max="10" width="47.36328125" style="7" customWidth="1"/>
    <col min="11" max="16384" width="9" style="7"/>
  </cols>
  <sheetData>
    <row r="1" spans="1:10" ht="50.25" customHeight="1" thickBot="1" x14ac:dyDescent="0.4">
      <c r="A1" s="97" t="s">
        <v>121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ht="85.5" customHeight="1" thickTop="1" thickBot="1" x14ac:dyDescent="0.4">
      <c r="A2" s="93" t="s">
        <v>45</v>
      </c>
      <c r="B2" s="93" t="s">
        <v>69</v>
      </c>
      <c r="C2" s="93" t="s">
        <v>70</v>
      </c>
      <c r="D2" s="93" t="s">
        <v>54</v>
      </c>
      <c r="E2" s="93" t="s">
        <v>55</v>
      </c>
      <c r="F2" s="93" t="s">
        <v>56</v>
      </c>
      <c r="G2" s="93" t="s">
        <v>71</v>
      </c>
      <c r="H2" s="93" t="s">
        <v>57</v>
      </c>
      <c r="I2" s="93" t="s">
        <v>58</v>
      </c>
      <c r="J2" s="93" t="s">
        <v>116</v>
      </c>
    </row>
    <row r="3" spans="1:10" ht="21" thickTop="1" x14ac:dyDescent="0.35">
      <c r="A3" s="41">
        <f>DATE(2025, 5, 1)</f>
        <v>45778</v>
      </c>
      <c r="B3" s="57" t="s">
        <v>118</v>
      </c>
      <c r="C3" s="31" t="s">
        <v>95</v>
      </c>
      <c r="D3" s="32"/>
      <c r="E3" s="41">
        <f>DATE(2025, 5, 1)</f>
        <v>45778</v>
      </c>
      <c r="F3" s="34"/>
      <c r="G3" s="35" t="s">
        <v>65</v>
      </c>
      <c r="H3" s="36"/>
      <c r="I3" s="37"/>
      <c r="J3" s="29"/>
    </row>
    <row r="4" spans="1:10" ht="41" x14ac:dyDescent="0.35">
      <c r="A4" s="42">
        <f>A3+1</f>
        <v>45779</v>
      </c>
      <c r="B4" s="58" t="s">
        <v>83</v>
      </c>
      <c r="C4" s="17" t="s">
        <v>119</v>
      </c>
      <c r="D4" s="19"/>
      <c r="E4" s="42">
        <f>E3+1</f>
        <v>45779</v>
      </c>
      <c r="F4" s="23"/>
      <c r="G4" s="25" t="s">
        <v>66</v>
      </c>
      <c r="H4" s="27"/>
      <c r="I4" s="9"/>
      <c r="J4" s="8"/>
    </row>
    <row r="5" spans="1:10" x14ac:dyDescent="0.35">
      <c r="A5" s="42">
        <f>A4+1</f>
        <v>45780</v>
      </c>
      <c r="B5" s="58"/>
      <c r="C5" s="17"/>
      <c r="D5" s="19"/>
      <c r="E5" s="21"/>
      <c r="F5" s="23"/>
      <c r="G5" s="25"/>
      <c r="H5" s="27"/>
      <c r="I5" s="9"/>
      <c r="J5" s="8"/>
    </row>
    <row r="6" spans="1:10" x14ac:dyDescent="0.35">
      <c r="A6" s="42">
        <f>A5+1</f>
        <v>45781</v>
      </c>
      <c r="B6" s="58"/>
      <c r="C6" s="17"/>
      <c r="D6" s="19"/>
      <c r="E6" s="21"/>
      <c r="F6" s="23"/>
      <c r="G6" s="25"/>
      <c r="H6" s="27"/>
      <c r="I6" s="9"/>
      <c r="J6" s="8"/>
    </row>
    <row r="7" spans="1:10" x14ac:dyDescent="0.35">
      <c r="A7" s="42">
        <f>A6+1</f>
        <v>45782</v>
      </c>
      <c r="B7" s="58" t="s">
        <v>88</v>
      </c>
      <c r="C7" s="17" t="s">
        <v>95</v>
      </c>
      <c r="D7" s="19"/>
      <c r="E7" s="41">
        <f>DATE(2025, 5, 5)</f>
        <v>45782</v>
      </c>
      <c r="F7" s="23"/>
      <c r="G7" s="25" t="s">
        <v>75</v>
      </c>
      <c r="H7" s="27"/>
      <c r="I7" s="9"/>
      <c r="J7" s="8"/>
    </row>
    <row r="8" spans="1:10" x14ac:dyDescent="0.35">
      <c r="A8" s="42">
        <f t="shared" ref="A8:A32" si="0">A7+1</f>
        <v>45783</v>
      </c>
      <c r="B8" s="58" t="s">
        <v>92</v>
      </c>
      <c r="C8" s="17" t="s">
        <v>96</v>
      </c>
      <c r="D8" s="40"/>
      <c r="E8" s="42">
        <f>E7+1</f>
        <v>45783</v>
      </c>
      <c r="F8" s="23"/>
      <c r="G8" s="25" t="s">
        <v>74</v>
      </c>
      <c r="H8" s="27"/>
      <c r="I8" s="9"/>
      <c r="J8" s="8"/>
    </row>
    <row r="9" spans="1:10" x14ac:dyDescent="0.35">
      <c r="A9" s="42">
        <f t="shared" si="0"/>
        <v>45784</v>
      </c>
      <c r="B9" s="57" t="s">
        <v>80</v>
      </c>
      <c r="C9" s="31" t="s">
        <v>95</v>
      </c>
      <c r="D9" s="32"/>
      <c r="E9" s="42">
        <f>E8+1</f>
        <v>45784</v>
      </c>
      <c r="F9" s="34"/>
      <c r="G9" s="35" t="s">
        <v>13</v>
      </c>
      <c r="H9" s="27"/>
      <c r="I9" s="9"/>
      <c r="J9" s="8"/>
    </row>
    <row r="10" spans="1:10" x14ac:dyDescent="0.35">
      <c r="A10" s="42">
        <f t="shared" si="0"/>
        <v>45785</v>
      </c>
      <c r="B10" s="58"/>
      <c r="C10" s="17"/>
      <c r="D10" s="19"/>
      <c r="E10" s="42"/>
      <c r="F10" s="23"/>
      <c r="G10" s="25"/>
      <c r="H10" s="27"/>
      <c r="I10" s="9"/>
      <c r="J10" s="8"/>
    </row>
    <row r="11" spans="1:10" x14ac:dyDescent="0.35">
      <c r="A11" s="42">
        <f t="shared" si="0"/>
        <v>45786</v>
      </c>
      <c r="B11" s="15"/>
      <c r="C11" s="17"/>
      <c r="D11" s="19"/>
      <c r="E11" s="21"/>
      <c r="F11" s="23"/>
      <c r="G11" s="25"/>
      <c r="H11" s="27"/>
      <c r="I11" s="9"/>
      <c r="J11" s="8"/>
    </row>
    <row r="12" spans="1:10" x14ac:dyDescent="0.35">
      <c r="A12" s="42">
        <f t="shared" si="0"/>
        <v>45787</v>
      </c>
      <c r="B12" s="15"/>
      <c r="C12" s="17"/>
      <c r="D12" s="19"/>
      <c r="E12" s="21"/>
      <c r="F12" s="23"/>
      <c r="G12" s="25"/>
      <c r="H12" s="27"/>
      <c r="I12" s="9"/>
      <c r="J12" s="8"/>
    </row>
    <row r="13" spans="1:10" x14ac:dyDescent="0.35">
      <c r="A13" s="42">
        <f t="shared" si="0"/>
        <v>45788</v>
      </c>
      <c r="B13" s="15"/>
      <c r="C13" s="17"/>
      <c r="D13" s="40"/>
      <c r="E13" s="21"/>
      <c r="F13" s="23"/>
      <c r="G13" s="25"/>
      <c r="H13" s="27"/>
      <c r="I13" s="9"/>
      <c r="J13" s="8"/>
    </row>
    <row r="14" spans="1:10" x14ac:dyDescent="0.35">
      <c r="A14" s="42">
        <f t="shared" si="0"/>
        <v>45789</v>
      </c>
      <c r="B14" s="15"/>
      <c r="C14" s="17"/>
      <c r="D14" s="19"/>
      <c r="E14" s="21"/>
      <c r="F14" s="23"/>
      <c r="G14" s="25"/>
      <c r="H14" s="27"/>
      <c r="I14" s="9"/>
      <c r="J14" s="8"/>
    </row>
    <row r="15" spans="1:10" x14ac:dyDescent="0.35">
      <c r="A15" s="42">
        <f t="shared" si="0"/>
        <v>45790</v>
      </c>
      <c r="B15" s="15"/>
      <c r="C15" s="17"/>
      <c r="D15" s="40"/>
      <c r="E15" s="21"/>
      <c r="F15" s="23"/>
      <c r="G15" s="25"/>
      <c r="H15" s="27"/>
      <c r="I15" s="9"/>
      <c r="J15" s="8"/>
    </row>
    <row r="16" spans="1:10" x14ac:dyDescent="0.35">
      <c r="A16" s="42">
        <f t="shared" si="0"/>
        <v>45791</v>
      </c>
      <c r="B16" s="15"/>
      <c r="C16" s="17"/>
      <c r="D16" s="40"/>
      <c r="E16" s="21"/>
      <c r="F16" s="23"/>
      <c r="G16" s="25"/>
      <c r="H16" s="27"/>
      <c r="I16" s="9"/>
      <c r="J16" s="8"/>
    </row>
    <row r="17" spans="1:10" x14ac:dyDescent="0.35">
      <c r="A17" s="42">
        <f t="shared" si="0"/>
        <v>45792</v>
      </c>
      <c r="B17" s="15"/>
      <c r="C17" s="17"/>
      <c r="D17" s="40"/>
      <c r="E17" s="21"/>
      <c r="F17" s="23"/>
      <c r="G17" s="25"/>
      <c r="H17" s="27"/>
      <c r="I17" s="9"/>
      <c r="J17" s="8"/>
    </row>
    <row r="18" spans="1:10" x14ac:dyDescent="0.35">
      <c r="A18" s="42">
        <f t="shared" si="0"/>
        <v>45793</v>
      </c>
      <c r="B18" s="15"/>
      <c r="C18" s="17"/>
      <c r="D18" s="40"/>
      <c r="E18" s="21"/>
      <c r="F18" s="23"/>
      <c r="G18" s="25"/>
      <c r="H18" s="27"/>
      <c r="I18" s="9"/>
      <c r="J18" s="8"/>
    </row>
    <row r="19" spans="1:10" x14ac:dyDescent="0.35">
      <c r="A19" s="42">
        <f t="shared" si="0"/>
        <v>45794</v>
      </c>
      <c r="B19" s="16"/>
      <c r="C19" s="18"/>
      <c r="D19" s="20"/>
      <c r="E19" s="22"/>
      <c r="F19" s="24"/>
      <c r="G19" s="26"/>
      <c r="H19" s="28"/>
      <c r="I19" s="12"/>
      <c r="J19" s="11"/>
    </row>
    <row r="20" spans="1:10" x14ac:dyDescent="0.35">
      <c r="A20" s="42">
        <f t="shared" si="0"/>
        <v>45795</v>
      </c>
      <c r="B20" s="16"/>
      <c r="C20" s="18"/>
      <c r="D20" s="20"/>
      <c r="E20" s="22"/>
      <c r="F20" s="24"/>
      <c r="G20" s="26"/>
      <c r="H20" s="28"/>
      <c r="I20" s="12"/>
      <c r="J20" s="11"/>
    </row>
    <row r="21" spans="1:10" x14ac:dyDescent="0.35">
      <c r="A21" s="42">
        <f t="shared" si="0"/>
        <v>45796</v>
      </c>
      <c r="B21" s="16"/>
      <c r="C21" s="18"/>
      <c r="D21" s="20"/>
      <c r="E21" s="22"/>
      <c r="F21" s="24"/>
      <c r="G21" s="26"/>
      <c r="H21" s="28"/>
      <c r="I21" s="12"/>
      <c r="J21" s="11"/>
    </row>
    <row r="22" spans="1:10" x14ac:dyDescent="0.35">
      <c r="A22" s="42">
        <f t="shared" si="0"/>
        <v>45797</v>
      </c>
      <c r="B22" s="16"/>
      <c r="C22" s="18"/>
      <c r="D22" s="20"/>
      <c r="E22" s="22"/>
      <c r="F22" s="24"/>
      <c r="G22" s="26"/>
      <c r="H22" s="28"/>
      <c r="I22" s="12"/>
      <c r="J22" s="11"/>
    </row>
    <row r="23" spans="1:10" x14ac:dyDescent="0.35">
      <c r="A23" s="42">
        <f t="shared" si="0"/>
        <v>45798</v>
      </c>
      <c r="B23" s="16"/>
      <c r="C23" s="18"/>
      <c r="D23" s="20"/>
      <c r="E23" s="22"/>
      <c r="F23" s="24"/>
      <c r="G23" s="26"/>
      <c r="H23" s="28"/>
      <c r="I23" s="12"/>
      <c r="J23" s="11"/>
    </row>
    <row r="24" spans="1:10" x14ac:dyDescent="0.35">
      <c r="A24" s="42">
        <f t="shared" si="0"/>
        <v>45799</v>
      </c>
      <c r="B24" s="16"/>
      <c r="C24" s="18"/>
      <c r="D24" s="20"/>
      <c r="E24" s="22"/>
      <c r="F24" s="24"/>
      <c r="G24" s="26"/>
      <c r="H24" s="28"/>
      <c r="I24" s="12"/>
      <c r="J24" s="11"/>
    </row>
    <row r="25" spans="1:10" x14ac:dyDescent="0.35">
      <c r="A25" s="42">
        <f t="shared" si="0"/>
        <v>45800</v>
      </c>
      <c r="B25" s="16"/>
      <c r="C25" s="18"/>
      <c r="D25" s="20"/>
      <c r="E25" s="22"/>
      <c r="F25" s="24"/>
      <c r="G25" s="26"/>
      <c r="H25" s="28"/>
      <c r="I25" s="12"/>
      <c r="J25" s="11"/>
    </row>
    <row r="26" spans="1:10" x14ac:dyDescent="0.35">
      <c r="A26" s="42">
        <f t="shared" si="0"/>
        <v>45801</v>
      </c>
      <c r="B26" s="16"/>
      <c r="C26" s="18"/>
      <c r="D26" s="20"/>
      <c r="E26" s="22"/>
      <c r="F26" s="24"/>
      <c r="G26" s="26"/>
      <c r="H26" s="28"/>
      <c r="I26" s="12"/>
      <c r="J26" s="11"/>
    </row>
    <row r="27" spans="1:10" x14ac:dyDescent="0.35">
      <c r="A27" s="42">
        <f t="shared" si="0"/>
        <v>45802</v>
      </c>
      <c r="B27" s="16"/>
      <c r="C27" s="18"/>
      <c r="D27" s="20"/>
      <c r="E27" s="22"/>
      <c r="F27" s="24"/>
      <c r="G27" s="26"/>
      <c r="H27" s="28"/>
      <c r="I27" s="12"/>
      <c r="J27" s="11"/>
    </row>
    <row r="28" spans="1:10" x14ac:dyDescent="0.35">
      <c r="A28" s="42">
        <f t="shared" si="0"/>
        <v>45803</v>
      </c>
      <c r="B28" s="16"/>
      <c r="C28" s="18"/>
      <c r="D28" s="20"/>
      <c r="E28" s="22"/>
      <c r="F28" s="24"/>
      <c r="G28" s="26"/>
      <c r="H28" s="28"/>
      <c r="I28" s="12"/>
      <c r="J28" s="11"/>
    </row>
    <row r="29" spans="1:10" x14ac:dyDescent="0.35">
      <c r="A29" s="42">
        <f t="shared" si="0"/>
        <v>45804</v>
      </c>
      <c r="B29" s="16"/>
      <c r="C29" s="18"/>
      <c r="D29" s="20"/>
      <c r="E29" s="22"/>
      <c r="F29" s="24"/>
      <c r="G29" s="26"/>
      <c r="H29" s="28"/>
      <c r="I29" s="12"/>
      <c r="J29" s="11"/>
    </row>
    <row r="30" spans="1:10" x14ac:dyDescent="0.35">
      <c r="A30" s="42">
        <f t="shared" si="0"/>
        <v>45805</v>
      </c>
      <c r="B30" s="16"/>
      <c r="C30" s="18"/>
      <c r="D30" s="20"/>
      <c r="E30" s="22"/>
      <c r="F30" s="24"/>
      <c r="G30" s="26"/>
      <c r="H30" s="28"/>
      <c r="I30" s="12"/>
      <c r="J30" s="11"/>
    </row>
    <row r="31" spans="1:10" x14ac:dyDescent="0.35">
      <c r="A31" s="42">
        <f t="shared" si="0"/>
        <v>45806</v>
      </c>
      <c r="B31" s="16"/>
      <c r="C31" s="18"/>
      <c r="D31" s="20"/>
      <c r="E31" s="22"/>
      <c r="F31" s="24"/>
      <c r="G31" s="26"/>
      <c r="H31" s="28"/>
      <c r="I31" s="12"/>
      <c r="J31" s="11"/>
    </row>
    <row r="32" spans="1:10" x14ac:dyDescent="0.35">
      <c r="A32" s="42">
        <f t="shared" si="0"/>
        <v>45807</v>
      </c>
      <c r="B32" s="16"/>
      <c r="C32" s="18"/>
      <c r="D32" s="20"/>
      <c r="E32" s="22"/>
      <c r="F32" s="24"/>
      <c r="G32" s="26"/>
      <c r="H32" s="28"/>
      <c r="I32" s="12"/>
      <c r="J32" s="11"/>
    </row>
    <row r="33" spans="1:10" x14ac:dyDescent="0.35">
      <c r="A33" s="42">
        <f>A32+1</f>
        <v>45808</v>
      </c>
      <c r="B33" s="16"/>
      <c r="C33" s="18"/>
      <c r="D33" s="20"/>
      <c r="E33" s="22"/>
      <c r="F33" s="24"/>
      <c r="G33" s="26"/>
      <c r="H33" s="28"/>
      <c r="I33" s="12"/>
      <c r="J33" s="11"/>
    </row>
    <row r="34" spans="1:10" x14ac:dyDescent="0.35">
      <c r="A34" s="42">
        <f t="shared" ref="A34:A97" si="1">A33+1</f>
        <v>45809</v>
      </c>
      <c r="B34" s="16"/>
      <c r="C34" s="18"/>
      <c r="D34" s="20"/>
      <c r="E34" s="22"/>
      <c r="F34" s="24"/>
      <c r="G34" s="26"/>
      <c r="H34" s="28"/>
      <c r="I34" s="12"/>
      <c r="J34" s="11"/>
    </row>
    <row r="35" spans="1:10" x14ac:dyDescent="0.35">
      <c r="A35" s="42">
        <f t="shared" si="1"/>
        <v>45810</v>
      </c>
      <c r="B35" s="16"/>
      <c r="C35" s="18"/>
      <c r="D35" s="20"/>
      <c r="E35" s="22"/>
      <c r="F35" s="24"/>
      <c r="G35" s="26"/>
      <c r="H35" s="28"/>
      <c r="I35" s="12"/>
      <c r="J35" s="11"/>
    </row>
    <row r="36" spans="1:10" x14ac:dyDescent="0.35">
      <c r="A36" s="42">
        <f t="shared" si="1"/>
        <v>45811</v>
      </c>
      <c r="B36" s="16"/>
      <c r="C36" s="18"/>
      <c r="D36" s="20"/>
      <c r="E36" s="22"/>
      <c r="F36" s="24"/>
      <c r="G36" s="26"/>
      <c r="H36" s="28"/>
      <c r="I36" s="12"/>
      <c r="J36" s="11"/>
    </row>
    <row r="37" spans="1:10" x14ac:dyDescent="0.35">
      <c r="A37" s="42">
        <f t="shared" si="1"/>
        <v>45812</v>
      </c>
      <c r="B37" s="16"/>
      <c r="C37" s="18"/>
      <c r="D37" s="20"/>
      <c r="E37" s="22"/>
      <c r="F37" s="24"/>
      <c r="G37" s="26"/>
      <c r="H37" s="28"/>
      <c r="I37" s="12"/>
      <c r="J37" s="11"/>
    </row>
    <row r="38" spans="1:10" x14ac:dyDescent="0.35">
      <c r="A38" s="42">
        <f t="shared" si="1"/>
        <v>45813</v>
      </c>
      <c r="B38" s="16"/>
      <c r="C38" s="18"/>
      <c r="D38" s="20"/>
      <c r="E38" s="22"/>
      <c r="F38" s="24"/>
      <c r="G38" s="26"/>
      <c r="H38" s="28"/>
      <c r="I38" s="12"/>
      <c r="J38" s="11"/>
    </row>
    <row r="39" spans="1:10" x14ac:dyDescent="0.35">
      <c r="A39" s="42">
        <f t="shared" si="1"/>
        <v>45814</v>
      </c>
      <c r="B39" s="16"/>
      <c r="C39" s="18"/>
      <c r="D39" s="20"/>
      <c r="E39" s="22"/>
      <c r="F39" s="24"/>
      <c r="G39" s="26"/>
      <c r="H39" s="28"/>
      <c r="I39" s="12"/>
      <c r="J39" s="11"/>
    </row>
    <row r="40" spans="1:10" x14ac:dyDescent="0.35">
      <c r="A40" s="42">
        <f t="shared" si="1"/>
        <v>45815</v>
      </c>
      <c r="B40" s="16"/>
      <c r="C40" s="18"/>
      <c r="D40" s="20"/>
      <c r="E40" s="22"/>
      <c r="F40" s="24"/>
      <c r="G40" s="26"/>
      <c r="H40" s="28"/>
      <c r="I40" s="12"/>
      <c r="J40" s="11"/>
    </row>
    <row r="41" spans="1:10" x14ac:dyDescent="0.35">
      <c r="A41" s="42">
        <f t="shared" si="1"/>
        <v>45816</v>
      </c>
      <c r="B41" s="16"/>
      <c r="C41" s="18"/>
      <c r="D41" s="20"/>
      <c r="E41" s="22"/>
      <c r="F41" s="24"/>
      <c r="G41" s="26"/>
      <c r="H41" s="28"/>
      <c r="I41" s="12"/>
      <c r="J41" s="11"/>
    </row>
    <row r="42" spans="1:10" x14ac:dyDescent="0.35">
      <c r="A42" s="42">
        <f t="shared" si="1"/>
        <v>45817</v>
      </c>
      <c r="B42" s="16"/>
      <c r="C42" s="18"/>
      <c r="D42" s="20"/>
      <c r="E42" s="22"/>
      <c r="F42" s="24"/>
      <c r="G42" s="26"/>
      <c r="H42" s="28"/>
      <c r="I42" s="12"/>
      <c r="J42" s="11"/>
    </row>
    <row r="43" spans="1:10" x14ac:dyDescent="0.35">
      <c r="A43" s="42">
        <f t="shared" si="1"/>
        <v>45818</v>
      </c>
      <c r="B43" s="16"/>
      <c r="C43" s="18"/>
      <c r="D43" s="20"/>
      <c r="E43" s="22"/>
      <c r="F43" s="24"/>
      <c r="G43" s="26"/>
      <c r="H43" s="28"/>
      <c r="I43" s="12"/>
      <c r="J43" s="11"/>
    </row>
    <row r="44" spans="1:10" x14ac:dyDescent="0.35">
      <c r="A44" s="42">
        <f t="shared" si="1"/>
        <v>45819</v>
      </c>
      <c r="B44" s="16"/>
      <c r="C44" s="18"/>
      <c r="D44" s="20"/>
      <c r="E44" s="22"/>
      <c r="F44" s="24"/>
      <c r="G44" s="26"/>
      <c r="H44" s="28"/>
      <c r="I44" s="12"/>
      <c r="J44" s="11"/>
    </row>
    <row r="45" spans="1:10" x14ac:dyDescent="0.35">
      <c r="A45" s="42">
        <f t="shared" si="1"/>
        <v>45820</v>
      </c>
      <c r="B45" s="16"/>
      <c r="C45" s="18"/>
      <c r="D45" s="20"/>
      <c r="E45" s="22"/>
      <c r="F45" s="24"/>
      <c r="G45" s="26"/>
      <c r="H45" s="28"/>
      <c r="I45" s="12"/>
      <c r="J45" s="11"/>
    </row>
    <row r="46" spans="1:10" x14ac:dyDescent="0.35">
      <c r="A46" s="42">
        <f t="shared" si="1"/>
        <v>45821</v>
      </c>
      <c r="B46" s="16"/>
      <c r="C46" s="18"/>
      <c r="D46" s="20"/>
      <c r="E46" s="22"/>
      <c r="F46" s="24"/>
      <c r="G46" s="26"/>
      <c r="H46" s="28"/>
      <c r="I46" s="12"/>
      <c r="J46" s="11"/>
    </row>
    <row r="47" spans="1:10" x14ac:dyDescent="0.35">
      <c r="A47" s="42">
        <f t="shared" si="1"/>
        <v>45822</v>
      </c>
      <c r="B47" s="16"/>
      <c r="C47" s="18"/>
      <c r="D47" s="20"/>
      <c r="E47" s="22"/>
      <c r="F47" s="24"/>
      <c r="G47" s="26"/>
      <c r="H47" s="28"/>
      <c r="I47" s="12"/>
      <c r="J47" s="11"/>
    </row>
    <row r="48" spans="1:10" x14ac:dyDescent="0.35">
      <c r="A48" s="42">
        <f t="shared" si="1"/>
        <v>45823</v>
      </c>
      <c r="B48" s="16"/>
      <c r="C48" s="18"/>
      <c r="D48" s="20"/>
      <c r="E48" s="22"/>
      <c r="F48" s="24"/>
      <c r="G48" s="26"/>
      <c r="H48" s="28"/>
      <c r="I48" s="12"/>
      <c r="J48" s="11"/>
    </row>
    <row r="49" spans="1:10" x14ac:dyDescent="0.35">
      <c r="A49" s="42">
        <f t="shared" si="1"/>
        <v>45824</v>
      </c>
      <c r="B49" s="16"/>
      <c r="C49" s="18"/>
      <c r="D49" s="20"/>
      <c r="E49" s="22"/>
      <c r="F49" s="24"/>
      <c r="G49" s="26"/>
      <c r="H49" s="28"/>
      <c r="I49" s="12"/>
      <c r="J49" s="11"/>
    </row>
    <row r="50" spans="1:10" x14ac:dyDescent="0.35">
      <c r="A50" s="42">
        <f t="shared" si="1"/>
        <v>45825</v>
      </c>
      <c r="B50" s="16"/>
      <c r="C50" s="18"/>
      <c r="D50" s="20"/>
      <c r="E50" s="22"/>
      <c r="F50" s="24"/>
      <c r="G50" s="26"/>
      <c r="H50" s="28"/>
      <c r="I50" s="12"/>
      <c r="J50" s="11"/>
    </row>
    <row r="51" spans="1:10" x14ac:dyDescent="0.35">
      <c r="A51" s="42">
        <f t="shared" si="1"/>
        <v>45826</v>
      </c>
      <c r="B51" s="16"/>
      <c r="C51" s="18"/>
      <c r="D51" s="20"/>
      <c r="E51" s="22"/>
      <c r="F51" s="24"/>
      <c r="G51" s="26"/>
      <c r="H51" s="28"/>
      <c r="I51" s="12"/>
      <c r="J51" s="11"/>
    </row>
    <row r="52" spans="1:10" x14ac:dyDescent="0.35">
      <c r="A52" s="42">
        <f t="shared" si="1"/>
        <v>45827</v>
      </c>
      <c r="B52" s="16"/>
      <c r="C52" s="18"/>
      <c r="D52" s="20"/>
      <c r="E52" s="22"/>
      <c r="F52" s="24"/>
      <c r="G52" s="26"/>
      <c r="H52" s="28"/>
      <c r="I52" s="12"/>
      <c r="J52" s="11"/>
    </row>
    <row r="53" spans="1:10" x14ac:dyDescent="0.35">
      <c r="A53" s="42">
        <f t="shared" si="1"/>
        <v>45828</v>
      </c>
      <c r="B53" s="16"/>
      <c r="C53" s="18"/>
      <c r="D53" s="20"/>
      <c r="E53" s="22"/>
      <c r="F53" s="24"/>
      <c r="G53" s="26"/>
      <c r="H53" s="28"/>
      <c r="I53" s="12"/>
      <c r="J53" s="11"/>
    </row>
    <row r="54" spans="1:10" x14ac:dyDescent="0.35">
      <c r="A54" s="42">
        <f t="shared" si="1"/>
        <v>45829</v>
      </c>
      <c r="B54" s="16"/>
      <c r="C54" s="18"/>
      <c r="D54" s="20"/>
      <c r="E54" s="22"/>
      <c r="F54" s="24"/>
      <c r="G54" s="26"/>
      <c r="H54" s="28"/>
      <c r="I54" s="12"/>
      <c r="J54" s="11"/>
    </row>
    <row r="55" spans="1:10" x14ac:dyDescent="0.35">
      <c r="A55" s="42">
        <f t="shared" si="1"/>
        <v>45830</v>
      </c>
      <c r="B55" s="16"/>
      <c r="C55" s="18"/>
      <c r="D55" s="20"/>
      <c r="E55" s="22"/>
      <c r="F55" s="24"/>
      <c r="G55" s="26"/>
      <c r="H55" s="28"/>
      <c r="I55" s="12"/>
      <c r="J55" s="11"/>
    </row>
    <row r="56" spans="1:10" x14ac:dyDescent="0.35">
      <c r="A56" s="42">
        <f t="shared" si="1"/>
        <v>45831</v>
      </c>
      <c r="B56" s="16"/>
      <c r="C56" s="18"/>
      <c r="D56" s="20"/>
      <c r="E56" s="22"/>
      <c r="F56" s="24"/>
      <c r="G56" s="26"/>
      <c r="H56" s="28"/>
      <c r="I56" s="12"/>
      <c r="J56" s="11"/>
    </row>
    <row r="57" spans="1:10" x14ac:dyDescent="0.35">
      <c r="A57" s="42">
        <f t="shared" si="1"/>
        <v>45832</v>
      </c>
      <c r="B57" s="16"/>
      <c r="C57" s="18"/>
      <c r="D57" s="20"/>
      <c r="E57" s="22"/>
      <c r="F57" s="24"/>
      <c r="G57" s="26"/>
      <c r="H57" s="28"/>
      <c r="I57" s="12"/>
      <c r="J57" s="11"/>
    </row>
    <row r="58" spans="1:10" x14ac:dyDescent="0.35">
      <c r="A58" s="42">
        <f t="shared" si="1"/>
        <v>45833</v>
      </c>
      <c r="B58" s="16"/>
      <c r="C58" s="18"/>
      <c r="D58" s="20"/>
      <c r="E58" s="22"/>
      <c r="F58" s="24"/>
      <c r="G58" s="26"/>
      <c r="H58" s="28"/>
      <c r="I58" s="12"/>
      <c r="J58" s="11"/>
    </row>
    <row r="59" spans="1:10" x14ac:dyDescent="0.35">
      <c r="A59" s="42">
        <f t="shared" si="1"/>
        <v>45834</v>
      </c>
      <c r="B59" s="16"/>
      <c r="C59" s="18"/>
      <c r="D59" s="20"/>
      <c r="E59" s="22"/>
      <c r="F59" s="24"/>
      <c r="G59" s="26"/>
      <c r="H59" s="28"/>
      <c r="I59" s="12"/>
      <c r="J59" s="11"/>
    </row>
    <row r="60" spans="1:10" x14ac:dyDescent="0.35">
      <c r="A60" s="42">
        <f t="shared" si="1"/>
        <v>45835</v>
      </c>
      <c r="B60" s="16"/>
      <c r="C60" s="18"/>
      <c r="D60" s="20"/>
      <c r="E60" s="22"/>
      <c r="F60" s="24"/>
      <c r="G60" s="26"/>
      <c r="H60" s="28"/>
      <c r="I60" s="12"/>
      <c r="J60" s="11"/>
    </row>
    <row r="61" spans="1:10" x14ac:dyDescent="0.35">
      <c r="A61" s="42">
        <f t="shared" si="1"/>
        <v>45836</v>
      </c>
      <c r="B61" s="16"/>
      <c r="C61" s="18"/>
      <c r="D61" s="20"/>
      <c r="E61" s="22"/>
      <c r="F61" s="24"/>
      <c r="G61" s="26"/>
      <c r="H61" s="28"/>
      <c r="I61" s="12"/>
      <c r="J61" s="11"/>
    </row>
    <row r="62" spans="1:10" x14ac:dyDescent="0.35">
      <c r="A62" s="42">
        <f t="shared" si="1"/>
        <v>45837</v>
      </c>
      <c r="B62" s="16"/>
      <c r="C62" s="18"/>
      <c r="D62" s="20"/>
      <c r="E62" s="22"/>
      <c r="F62" s="24"/>
      <c r="G62" s="26"/>
      <c r="H62" s="28"/>
      <c r="I62" s="12"/>
      <c r="J62" s="11"/>
    </row>
    <row r="63" spans="1:10" x14ac:dyDescent="0.35">
      <c r="A63" s="42">
        <f t="shared" si="1"/>
        <v>45838</v>
      </c>
      <c r="B63" s="16"/>
      <c r="C63" s="18"/>
      <c r="D63" s="20"/>
      <c r="E63" s="22"/>
      <c r="F63" s="24"/>
      <c r="G63" s="26"/>
      <c r="H63" s="28"/>
      <c r="I63" s="12"/>
      <c r="J63" s="11"/>
    </row>
    <row r="64" spans="1:10" x14ac:dyDescent="0.35">
      <c r="A64" s="42">
        <f t="shared" si="1"/>
        <v>45839</v>
      </c>
      <c r="B64" s="16"/>
      <c r="C64" s="18"/>
      <c r="D64" s="20"/>
      <c r="E64" s="22"/>
      <c r="F64" s="24"/>
      <c r="G64" s="26"/>
      <c r="H64" s="28"/>
      <c r="I64" s="12"/>
      <c r="J64" s="11"/>
    </row>
    <row r="65" spans="1:10" x14ac:dyDescent="0.35">
      <c r="A65" s="42">
        <f t="shared" si="1"/>
        <v>45840</v>
      </c>
      <c r="B65" s="16"/>
      <c r="C65" s="18"/>
      <c r="D65" s="20"/>
      <c r="E65" s="22"/>
      <c r="F65" s="24"/>
      <c r="G65" s="26"/>
      <c r="H65" s="28"/>
      <c r="I65" s="12"/>
      <c r="J65" s="11"/>
    </row>
    <row r="66" spans="1:10" x14ac:dyDescent="0.35">
      <c r="A66" s="42">
        <f t="shared" si="1"/>
        <v>45841</v>
      </c>
      <c r="B66" s="16"/>
      <c r="C66" s="18"/>
      <c r="D66" s="20"/>
      <c r="E66" s="22"/>
      <c r="F66" s="24"/>
      <c r="G66" s="26"/>
      <c r="H66" s="28"/>
      <c r="I66" s="12"/>
      <c r="J66" s="11"/>
    </row>
    <row r="67" spans="1:10" x14ac:dyDescent="0.35">
      <c r="A67" s="42">
        <f t="shared" si="1"/>
        <v>45842</v>
      </c>
      <c r="B67" s="16"/>
      <c r="C67" s="18"/>
      <c r="D67" s="20"/>
      <c r="E67" s="22"/>
      <c r="F67" s="24"/>
      <c r="G67" s="26"/>
      <c r="H67" s="28"/>
      <c r="I67" s="12"/>
      <c r="J67" s="11"/>
    </row>
    <row r="68" spans="1:10" x14ac:dyDescent="0.35">
      <c r="A68" s="42">
        <f t="shared" si="1"/>
        <v>45843</v>
      </c>
      <c r="B68" s="16"/>
      <c r="C68" s="18"/>
      <c r="D68" s="20"/>
      <c r="E68" s="22"/>
      <c r="F68" s="24"/>
      <c r="G68" s="26"/>
      <c r="H68" s="28"/>
      <c r="I68" s="12"/>
      <c r="J68" s="11"/>
    </row>
    <row r="69" spans="1:10" x14ac:dyDescent="0.35">
      <c r="A69" s="42">
        <f t="shared" si="1"/>
        <v>45844</v>
      </c>
      <c r="B69" s="16"/>
      <c r="C69" s="18"/>
      <c r="D69" s="20"/>
      <c r="E69" s="22"/>
      <c r="F69" s="24"/>
      <c r="G69" s="26"/>
      <c r="H69" s="28"/>
      <c r="I69" s="12"/>
      <c r="J69" s="11"/>
    </row>
    <row r="70" spans="1:10" x14ac:dyDescent="0.35">
      <c r="A70" s="42">
        <f t="shared" si="1"/>
        <v>45845</v>
      </c>
      <c r="B70" s="16"/>
      <c r="C70" s="18"/>
      <c r="D70" s="20"/>
      <c r="E70" s="22"/>
      <c r="F70" s="24"/>
      <c r="G70" s="26"/>
      <c r="H70" s="28"/>
      <c r="I70" s="12"/>
      <c r="J70" s="11"/>
    </row>
    <row r="71" spans="1:10" x14ac:dyDescent="0.35">
      <c r="A71" s="42">
        <f t="shared" si="1"/>
        <v>45846</v>
      </c>
      <c r="B71" s="16"/>
      <c r="C71" s="18"/>
      <c r="D71" s="20"/>
      <c r="E71" s="22"/>
      <c r="F71" s="24"/>
      <c r="G71" s="26"/>
      <c r="H71" s="28"/>
      <c r="I71" s="12"/>
      <c r="J71" s="11"/>
    </row>
    <row r="72" spans="1:10" x14ac:dyDescent="0.35">
      <c r="A72" s="42">
        <f t="shared" si="1"/>
        <v>45847</v>
      </c>
      <c r="B72" s="16"/>
      <c r="C72" s="18"/>
      <c r="D72" s="20"/>
      <c r="E72" s="22"/>
      <c r="F72" s="24"/>
      <c r="G72" s="26"/>
      <c r="H72" s="28"/>
      <c r="I72" s="12"/>
      <c r="J72" s="11"/>
    </row>
    <row r="73" spans="1:10" x14ac:dyDescent="0.35">
      <c r="A73" s="42">
        <f t="shared" si="1"/>
        <v>45848</v>
      </c>
      <c r="B73" s="16"/>
      <c r="C73" s="18"/>
      <c r="D73" s="20"/>
      <c r="E73" s="22"/>
      <c r="F73" s="24"/>
      <c r="G73" s="26"/>
      <c r="H73" s="28"/>
      <c r="I73" s="12"/>
      <c r="J73" s="11"/>
    </row>
    <row r="74" spans="1:10" x14ac:dyDescent="0.35">
      <c r="A74" s="42">
        <f t="shared" si="1"/>
        <v>45849</v>
      </c>
      <c r="B74" s="16"/>
      <c r="C74" s="18"/>
      <c r="D74" s="20"/>
      <c r="E74" s="22"/>
      <c r="F74" s="24"/>
      <c r="G74" s="26"/>
      <c r="H74" s="28"/>
      <c r="I74" s="12"/>
      <c r="J74" s="11"/>
    </row>
    <row r="75" spans="1:10" x14ac:dyDescent="0.35">
      <c r="A75" s="42">
        <f t="shared" si="1"/>
        <v>45850</v>
      </c>
      <c r="B75" s="16"/>
      <c r="C75" s="18"/>
      <c r="D75" s="20"/>
      <c r="E75" s="22"/>
      <c r="F75" s="24"/>
      <c r="G75" s="26"/>
      <c r="H75" s="28"/>
      <c r="I75" s="12"/>
      <c r="J75" s="11"/>
    </row>
    <row r="76" spans="1:10" x14ac:dyDescent="0.35">
      <c r="A76" s="42">
        <f t="shared" si="1"/>
        <v>45851</v>
      </c>
      <c r="B76" s="16"/>
      <c r="C76" s="18"/>
      <c r="D76" s="20"/>
      <c r="E76" s="22"/>
      <c r="F76" s="24"/>
      <c r="G76" s="26"/>
      <c r="H76" s="28"/>
      <c r="I76" s="12"/>
      <c r="J76" s="11"/>
    </row>
    <row r="77" spans="1:10" x14ac:dyDescent="0.35">
      <c r="A77" s="42">
        <f t="shared" si="1"/>
        <v>45852</v>
      </c>
      <c r="B77" s="16"/>
      <c r="C77" s="18"/>
      <c r="D77" s="20"/>
      <c r="E77" s="22"/>
      <c r="F77" s="24"/>
      <c r="G77" s="26"/>
      <c r="H77" s="28"/>
      <c r="I77" s="12"/>
      <c r="J77" s="11"/>
    </row>
    <row r="78" spans="1:10" x14ac:dyDescent="0.35">
      <c r="A78" s="42">
        <f t="shared" si="1"/>
        <v>45853</v>
      </c>
      <c r="B78" s="16"/>
      <c r="C78" s="18"/>
      <c r="D78" s="20"/>
      <c r="E78" s="22"/>
      <c r="F78" s="24"/>
      <c r="G78" s="26"/>
      <c r="H78" s="28"/>
      <c r="I78" s="12"/>
      <c r="J78" s="11"/>
    </row>
    <row r="79" spans="1:10" x14ac:dyDescent="0.35">
      <c r="A79" s="42">
        <f t="shared" si="1"/>
        <v>45854</v>
      </c>
      <c r="B79" s="16"/>
      <c r="C79" s="18"/>
      <c r="D79" s="20"/>
      <c r="E79" s="22"/>
      <c r="F79" s="24"/>
      <c r="G79" s="26"/>
      <c r="H79" s="28"/>
      <c r="I79" s="12"/>
      <c r="J79" s="11"/>
    </row>
    <row r="80" spans="1:10" x14ac:dyDescent="0.35">
      <c r="A80" s="42">
        <f t="shared" si="1"/>
        <v>45855</v>
      </c>
      <c r="B80" s="16"/>
      <c r="C80" s="18"/>
      <c r="D80" s="20"/>
      <c r="E80" s="22"/>
      <c r="F80" s="24"/>
      <c r="G80" s="26"/>
      <c r="H80" s="28"/>
      <c r="I80" s="12"/>
      <c r="J80" s="11"/>
    </row>
    <row r="81" spans="1:10" x14ac:dyDescent="0.35">
      <c r="A81" s="42">
        <f t="shared" si="1"/>
        <v>45856</v>
      </c>
      <c r="B81" s="16"/>
      <c r="C81" s="18"/>
      <c r="D81" s="20"/>
      <c r="E81" s="22"/>
      <c r="F81" s="24"/>
      <c r="G81" s="26"/>
      <c r="H81" s="28"/>
      <c r="I81" s="12"/>
      <c r="J81" s="11"/>
    </row>
    <row r="82" spans="1:10" x14ac:dyDescent="0.35">
      <c r="A82" s="42">
        <f t="shared" si="1"/>
        <v>45857</v>
      </c>
      <c r="B82" s="16"/>
      <c r="C82" s="18"/>
      <c r="D82" s="20"/>
      <c r="E82" s="22"/>
      <c r="F82" s="24"/>
      <c r="G82" s="26"/>
      <c r="H82" s="28"/>
      <c r="I82" s="12"/>
      <c r="J82" s="11"/>
    </row>
    <row r="83" spans="1:10" x14ac:dyDescent="0.35">
      <c r="A83" s="42">
        <f t="shared" si="1"/>
        <v>45858</v>
      </c>
      <c r="B83" s="16"/>
      <c r="C83" s="18"/>
      <c r="D83" s="20"/>
      <c r="E83" s="22"/>
      <c r="F83" s="24"/>
      <c r="G83" s="26"/>
      <c r="H83" s="28"/>
      <c r="I83" s="12"/>
      <c r="J83" s="11"/>
    </row>
    <row r="84" spans="1:10" x14ac:dyDescent="0.35">
      <c r="A84" s="42">
        <f t="shared" si="1"/>
        <v>45859</v>
      </c>
      <c r="B84" s="16"/>
      <c r="C84" s="18"/>
      <c r="D84" s="20"/>
      <c r="E84" s="22"/>
      <c r="F84" s="24"/>
      <c r="G84" s="26"/>
      <c r="H84" s="28"/>
      <c r="I84" s="12"/>
      <c r="J84" s="11"/>
    </row>
    <row r="85" spans="1:10" x14ac:dyDescent="0.35">
      <c r="A85" s="42">
        <f t="shared" si="1"/>
        <v>45860</v>
      </c>
      <c r="B85" s="16"/>
      <c r="C85" s="18"/>
      <c r="D85" s="20"/>
      <c r="E85" s="22"/>
      <c r="F85" s="24"/>
      <c r="G85" s="26"/>
      <c r="H85" s="28"/>
      <c r="I85" s="12"/>
      <c r="J85" s="11"/>
    </row>
    <row r="86" spans="1:10" x14ac:dyDescent="0.35">
      <c r="A86" s="42">
        <f t="shared" si="1"/>
        <v>45861</v>
      </c>
      <c r="B86" s="16"/>
      <c r="C86" s="18"/>
      <c r="D86" s="20"/>
      <c r="E86" s="22"/>
      <c r="F86" s="24"/>
      <c r="G86" s="26"/>
      <c r="H86" s="28"/>
      <c r="I86" s="12"/>
      <c r="J86" s="11"/>
    </row>
    <row r="87" spans="1:10" x14ac:dyDescent="0.35">
      <c r="A87" s="42">
        <f t="shared" si="1"/>
        <v>45862</v>
      </c>
      <c r="B87" s="16"/>
      <c r="C87" s="18"/>
      <c r="D87" s="20"/>
      <c r="E87" s="22"/>
      <c r="F87" s="24"/>
      <c r="G87" s="26"/>
      <c r="H87" s="28"/>
      <c r="I87" s="12"/>
      <c r="J87" s="11"/>
    </row>
    <row r="88" spans="1:10" x14ac:dyDescent="0.35">
      <c r="A88" s="42">
        <f t="shared" si="1"/>
        <v>45863</v>
      </c>
      <c r="B88" s="16"/>
      <c r="C88" s="18"/>
      <c r="D88" s="20"/>
      <c r="E88" s="22"/>
      <c r="F88" s="24"/>
      <c r="G88" s="26"/>
      <c r="H88" s="28"/>
      <c r="I88" s="12"/>
      <c r="J88" s="11"/>
    </row>
    <row r="89" spans="1:10" x14ac:dyDescent="0.35">
      <c r="A89" s="42">
        <f t="shared" si="1"/>
        <v>45864</v>
      </c>
      <c r="B89" s="16"/>
      <c r="C89" s="18"/>
      <c r="D89" s="20"/>
      <c r="E89" s="22"/>
      <c r="F89" s="24"/>
      <c r="G89" s="26"/>
      <c r="H89" s="28"/>
      <c r="I89" s="12"/>
      <c r="J89" s="11"/>
    </row>
    <row r="90" spans="1:10" x14ac:dyDescent="0.35">
      <c r="A90" s="42">
        <f t="shared" si="1"/>
        <v>45865</v>
      </c>
      <c r="B90" s="16"/>
      <c r="C90" s="18"/>
      <c r="D90" s="20"/>
      <c r="E90" s="22"/>
      <c r="F90" s="24"/>
      <c r="G90" s="26"/>
      <c r="H90" s="28"/>
      <c r="I90" s="12"/>
      <c r="J90" s="11"/>
    </row>
    <row r="91" spans="1:10" x14ac:dyDescent="0.35">
      <c r="A91" s="42">
        <f t="shared" si="1"/>
        <v>45866</v>
      </c>
      <c r="B91" s="16"/>
      <c r="C91" s="18"/>
      <c r="D91" s="20"/>
      <c r="E91" s="22"/>
      <c r="F91" s="24"/>
      <c r="G91" s="26"/>
      <c r="H91" s="28"/>
      <c r="I91" s="12"/>
      <c r="J91" s="11"/>
    </row>
    <row r="92" spans="1:10" x14ac:dyDescent="0.35">
      <c r="A92" s="42">
        <f t="shared" si="1"/>
        <v>45867</v>
      </c>
      <c r="B92" s="16"/>
      <c r="C92" s="18"/>
      <c r="D92" s="20"/>
      <c r="E92" s="22"/>
      <c r="F92" s="24"/>
      <c r="G92" s="26"/>
      <c r="H92" s="28"/>
      <c r="I92" s="12"/>
      <c r="J92" s="11"/>
    </row>
    <row r="93" spans="1:10" x14ac:dyDescent="0.35">
      <c r="A93" s="42">
        <f t="shared" si="1"/>
        <v>45868</v>
      </c>
      <c r="B93" s="16"/>
      <c r="C93" s="18"/>
      <c r="D93" s="20"/>
      <c r="E93" s="22"/>
      <c r="F93" s="24"/>
      <c r="G93" s="26"/>
      <c r="H93" s="28"/>
      <c r="I93" s="12"/>
      <c r="J93" s="11"/>
    </row>
    <row r="94" spans="1:10" x14ac:dyDescent="0.35">
      <c r="A94" s="42">
        <f t="shared" si="1"/>
        <v>45869</v>
      </c>
      <c r="B94" s="16"/>
      <c r="C94" s="18"/>
      <c r="D94" s="20"/>
      <c r="E94" s="22"/>
      <c r="F94" s="24"/>
      <c r="G94" s="26"/>
      <c r="H94" s="28"/>
      <c r="I94" s="12"/>
      <c r="J94" s="11"/>
    </row>
    <row r="95" spans="1:10" x14ac:dyDescent="0.35">
      <c r="A95" s="42">
        <f t="shared" si="1"/>
        <v>45870</v>
      </c>
      <c r="B95" s="16"/>
      <c r="C95" s="18"/>
      <c r="D95" s="20"/>
      <c r="E95" s="22"/>
      <c r="F95" s="24"/>
      <c r="G95" s="26"/>
      <c r="H95" s="28"/>
      <c r="I95" s="12"/>
      <c r="J95" s="11"/>
    </row>
    <row r="96" spans="1:10" x14ac:dyDescent="0.35">
      <c r="A96" s="42">
        <f t="shared" si="1"/>
        <v>45871</v>
      </c>
      <c r="B96" s="16"/>
      <c r="C96" s="18"/>
      <c r="D96" s="20"/>
      <c r="E96" s="22"/>
      <c r="F96" s="24"/>
      <c r="G96" s="26"/>
      <c r="H96" s="28"/>
      <c r="I96" s="12"/>
      <c r="J96" s="11"/>
    </row>
    <row r="97" spans="1:10" x14ac:dyDescent="0.35">
      <c r="A97" s="42">
        <f t="shared" si="1"/>
        <v>45872</v>
      </c>
      <c r="B97" s="16"/>
      <c r="C97" s="18"/>
      <c r="D97" s="20"/>
      <c r="E97" s="22"/>
      <c r="F97" s="24"/>
      <c r="G97" s="26"/>
      <c r="H97" s="28"/>
      <c r="I97" s="12"/>
      <c r="J97" s="11"/>
    </row>
    <row r="98" spans="1:10" x14ac:dyDescent="0.35">
      <c r="A98" s="42">
        <f t="shared" ref="A98:A161" si="2">A97+1</f>
        <v>45873</v>
      </c>
      <c r="B98" s="16"/>
      <c r="C98" s="18"/>
      <c r="D98" s="20"/>
      <c r="E98" s="22"/>
      <c r="F98" s="24"/>
      <c r="G98" s="26"/>
      <c r="H98" s="28"/>
      <c r="I98" s="12"/>
      <c r="J98" s="11"/>
    </row>
    <row r="99" spans="1:10" x14ac:dyDescent="0.35">
      <c r="A99" s="42">
        <f t="shared" si="2"/>
        <v>45874</v>
      </c>
      <c r="B99" s="16"/>
      <c r="C99" s="18"/>
      <c r="D99" s="20"/>
      <c r="E99" s="22"/>
      <c r="F99" s="24"/>
      <c r="G99" s="26"/>
      <c r="H99" s="28"/>
      <c r="I99" s="12"/>
      <c r="J99" s="11"/>
    </row>
    <row r="100" spans="1:10" x14ac:dyDescent="0.35">
      <c r="A100" s="42">
        <f t="shared" si="2"/>
        <v>45875</v>
      </c>
      <c r="B100" s="16"/>
      <c r="C100" s="18"/>
      <c r="D100" s="20"/>
      <c r="E100" s="22"/>
      <c r="F100" s="24"/>
      <c r="G100" s="26"/>
      <c r="H100" s="28"/>
      <c r="I100" s="12"/>
      <c r="J100" s="11"/>
    </row>
    <row r="101" spans="1:10" x14ac:dyDescent="0.35">
      <c r="A101" s="42">
        <f t="shared" si="2"/>
        <v>45876</v>
      </c>
      <c r="B101" s="16"/>
      <c r="C101" s="18"/>
      <c r="D101" s="20"/>
      <c r="E101" s="22"/>
      <c r="F101" s="24"/>
      <c r="G101" s="26"/>
      <c r="H101" s="28"/>
      <c r="I101" s="12"/>
      <c r="J101" s="11"/>
    </row>
    <row r="102" spans="1:10" x14ac:dyDescent="0.35">
      <c r="A102" s="42">
        <f t="shared" si="2"/>
        <v>45877</v>
      </c>
      <c r="B102" s="16"/>
      <c r="C102" s="18"/>
      <c r="D102" s="20"/>
      <c r="E102" s="22"/>
      <c r="F102" s="24"/>
      <c r="G102" s="26"/>
      <c r="H102" s="28"/>
      <c r="I102" s="12"/>
      <c r="J102" s="11"/>
    </row>
    <row r="103" spans="1:10" x14ac:dyDescent="0.35">
      <c r="A103" s="42">
        <f t="shared" si="2"/>
        <v>45878</v>
      </c>
      <c r="B103" s="16"/>
      <c r="C103" s="18"/>
      <c r="D103" s="20"/>
      <c r="E103" s="22"/>
      <c r="F103" s="24"/>
      <c r="G103" s="26"/>
      <c r="H103" s="28"/>
      <c r="I103" s="12"/>
      <c r="J103" s="11"/>
    </row>
    <row r="104" spans="1:10" x14ac:dyDescent="0.35">
      <c r="A104" s="42">
        <f t="shared" si="2"/>
        <v>45879</v>
      </c>
      <c r="B104" s="16"/>
      <c r="C104" s="18"/>
      <c r="D104" s="20"/>
      <c r="E104" s="22"/>
      <c r="F104" s="24"/>
      <c r="G104" s="26"/>
      <c r="H104" s="28"/>
      <c r="I104" s="12"/>
      <c r="J104" s="11"/>
    </row>
    <row r="105" spans="1:10" x14ac:dyDescent="0.35">
      <c r="A105" s="42">
        <f t="shared" si="2"/>
        <v>45880</v>
      </c>
      <c r="B105" s="16"/>
      <c r="C105" s="18"/>
      <c r="D105" s="20"/>
      <c r="E105" s="22"/>
      <c r="F105" s="24"/>
      <c r="G105" s="26"/>
      <c r="H105" s="28"/>
      <c r="I105" s="12"/>
      <c r="J105" s="11"/>
    </row>
    <row r="106" spans="1:10" x14ac:dyDescent="0.35">
      <c r="A106" s="42">
        <f t="shared" si="2"/>
        <v>45881</v>
      </c>
      <c r="B106" s="16"/>
      <c r="C106" s="18"/>
      <c r="D106" s="20"/>
      <c r="E106" s="22"/>
      <c r="F106" s="24"/>
      <c r="G106" s="26"/>
      <c r="H106" s="28"/>
      <c r="I106" s="12"/>
      <c r="J106" s="11"/>
    </row>
    <row r="107" spans="1:10" x14ac:dyDescent="0.35">
      <c r="A107" s="42">
        <f t="shared" si="2"/>
        <v>45882</v>
      </c>
      <c r="B107" s="16"/>
      <c r="C107" s="18"/>
      <c r="D107" s="20"/>
      <c r="E107" s="22"/>
      <c r="F107" s="24"/>
      <c r="G107" s="26"/>
      <c r="H107" s="28"/>
      <c r="I107" s="12"/>
      <c r="J107" s="11"/>
    </row>
    <row r="108" spans="1:10" x14ac:dyDescent="0.35">
      <c r="A108" s="42">
        <f t="shared" si="2"/>
        <v>45883</v>
      </c>
      <c r="B108" s="16"/>
      <c r="C108" s="18"/>
      <c r="D108" s="20"/>
      <c r="E108" s="22"/>
      <c r="F108" s="24"/>
      <c r="G108" s="26"/>
      <c r="H108" s="28"/>
      <c r="I108" s="12"/>
      <c r="J108" s="11"/>
    </row>
    <row r="109" spans="1:10" x14ac:dyDescent="0.35">
      <c r="A109" s="42">
        <f t="shared" si="2"/>
        <v>45884</v>
      </c>
      <c r="B109" s="16"/>
      <c r="C109" s="18"/>
      <c r="D109" s="20"/>
      <c r="E109" s="22"/>
      <c r="F109" s="24"/>
      <c r="G109" s="26"/>
      <c r="H109" s="28"/>
      <c r="I109" s="12"/>
      <c r="J109" s="11"/>
    </row>
    <row r="110" spans="1:10" x14ac:dyDescent="0.35">
      <c r="A110" s="42">
        <f t="shared" si="2"/>
        <v>45885</v>
      </c>
      <c r="B110" s="16"/>
      <c r="C110" s="18"/>
      <c r="D110" s="20"/>
      <c r="E110" s="22"/>
      <c r="F110" s="24"/>
      <c r="G110" s="26"/>
      <c r="H110" s="28"/>
      <c r="I110" s="12"/>
      <c r="J110" s="11"/>
    </row>
    <row r="111" spans="1:10" x14ac:dyDescent="0.35">
      <c r="A111" s="42">
        <f t="shared" si="2"/>
        <v>45886</v>
      </c>
      <c r="B111" s="16"/>
      <c r="C111" s="18"/>
      <c r="D111" s="20"/>
      <c r="E111" s="22"/>
      <c r="F111" s="24"/>
      <c r="G111" s="26"/>
      <c r="H111" s="28"/>
      <c r="I111" s="12"/>
      <c r="J111" s="11"/>
    </row>
    <row r="112" spans="1:10" x14ac:dyDescent="0.35">
      <c r="A112" s="42">
        <f t="shared" si="2"/>
        <v>45887</v>
      </c>
      <c r="B112" s="16"/>
      <c r="C112" s="18"/>
      <c r="D112" s="20"/>
      <c r="E112" s="22"/>
      <c r="F112" s="24"/>
      <c r="G112" s="26"/>
      <c r="H112" s="28"/>
      <c r="I112" s="12"/>
      <c r="J112" s="11"/>
    </row>
    <row r="113" spans="1:10" x14ac:dyDescent="0.35">
      <c r="A113" s="42">
        <f t="shared" si="2"/>
        <v>45888</v>
      </c>
      <c r="B113" s="16"/>
      <c r="C113" s="18"/>
      <c r="D113" s="20"/>
      <c r="E113" s="22"/>
      <c r="F113" s="24"/>
      <c r="G113" s="26"/>
      <c r="H113" s="28"/>
      <c r="I113" s="12"/>
      <c r="J113" s="11"/>
    </row>
    <row r="114" spans="1:10" x14ac:dyDescent="0.35">
      <c r="A114" s="42">
        <f t="shared" si="2"/>
        <v>45889</v>
      </c>
      <c r="B114" s="16"/>
      <c r="C114" s="18"/>
      <c r="D114" s="20"/>
      <c r="E114" s="22"/>
      <c r="F114" s="24"/>
      <c r="G114" s="26"/>
      <c r="H114" s="28"/>
      <c r="I114" s="12"/>
      <c r="J114" s="11"/>
    </row>
    <row r="115" spans="1:10" x14ac:dyDescent="0.35">
      <c r="A115" s="42">
        <f t="shared" si="2"/>
        <v>45890</v>
      </c>
      <c r="B115" s="16"/>
      <c r="C115" s="18"/>
      <c r="D115" s="20"/>
      <c r="E115" s="22"/>
      <c r="F115" s="24"/>
      <c r="G115" s="26"/>
      <c r="H115" s="28"/>
      <c r="I115" s="12"/>
      <c r="J115" s="11"/>
    </row>
    <row r="116" spans="1:10" x14ac:dyDescent="0.35">
      <c r="A116" s="42">
        <f t="shared" si="2"/>
        <v>45891</v>
      </c>
      <c r="B116" s="16"/>
      <c r="C116" s="18"/>
      <c r="D116" s="20"/>
      <c r="E116" s="22"/>
      <c r="F116" s="24"/>
      <c r="G116" s="26"/>
      <c r="H116" s="28"/>
      <c r="I116" s="12"/>
      <c r="J116" s="11"/>
    </row>
    <row r="117" spans="1:10" x14ac:dyDescent="0.35">
      <c r="A117" s="42">
        <f t="shared" si="2"/>
        <v>45892</v>
      </c>
      <c r="B117" s="16"/>
      <c r="C117" s="18"/>
      <c r="D117" s="20"/>
      <c r="E117" s="22"/>
      <c r="F117" s="24"/>
      <c r="G117" s="26"/>
      <c r="H117" s="28"/>
      <c r="I117" s="12"/>
      <c r="J117" s="11"/>
    </row>
    <row r="118" spans="1:10" x14ac:dyDescent="0.35">
      <c r="A118" s="42">
        <f t="shared" si="2"/>
        <v>45893</v>
      </c>
      <c r="B118" s="16"/>
      <c r="C118" s="18"/>
      <c r="D118" s="20"/>
      <c r="E118" s="22"/>
      <c r="F118" s="24"/>
      <c r="G118" s="26"/>
      <c r="H118" s="28"/>
      <c r="I118" s="12"/>
      <c r="J118" s="11"/>
    </row>
    <row r="119" spans="1:10" x14ac:dyDescent="0.35">
      <c r="A119" s="42">
        <f t="shared" si="2"/>
        <v>45894</v>
      </c>
      <c r="B119" s="16"/>
      <c r="C119" s="18"/>
      <c r="D119" s="20"/>
      <c r="E119" s="22"/>
      <c r="F119" s="24"/>
      <c r="G119" s="26"/>
      <c r="H119" s="28"/>
      <c r="I119" s="12"/>
      <c r="J119" s="11"/>
    </row>
    <row r="120" spans="1:10" x14ac:dyDescent="0.35">
      <c r="A120" s="42">
        <f t="shared" si="2"/>
        <v>45895</v>
      </c>
      <c r="B120" s="16"/>
      <c r="C120" s="18"/>
      <c r="D120" s="20"/>
      <c r="E120" s="22"/>
      <c r="F120" s="24"/>
      <c r="G120" s="26"/>
      <c r="H120" s="28"/>
      <c r="I120" s="12"/>
      <c r="J120" s="11"/>
    </row>
    <row r="121" spans="1:10" x14ac:dyDescent="0.35">
      <c r="A121" s="42">
        <f t="shared" si="2"/>
        <v>45896</v>
      </c>
      <c r="B121" s="16"/>
      <c r="C121" s="18"/>
      <c r="D121" s="20"/>
      <c r="E121" s="22"/>
      <c r="F121" s="24"/>
      <c r="G121" s="26"/>
      <c r="H121" s="28"/>
      <c r="I121" s="12"/>
      <c r="J121" s="11"/>
    </row>
    <row r="122" spans="1:10" x14ac:dyDescent="0.35">
      <c r="A122" s="42">
        <f t="shared" si="2"/>
        <v>45897</v>
      </c>
      <c r="B122" s="16"/>
      <c r="C122" s="18"/>
      <c r="D122" s="20"/>
      <c r="E122" s="22"/>
      <c r="F122" s="24"/>
      <c r="G122" s="26"/>
      <c r="H122" s="28"/>
      <c r="I122" s="12"/>
      <c r="J122" s="11"/>
    </row>
    <row r="123" spans="1:10" x14ac:dyDescent="0.35">
      <c r="A123" s="42">
        <f t="shared" si="2"/>
        <v>45898</v>
      </c>
      <c r="B123" s="16"/>
      <c r="C123" s="18"/>
      <c r="D123" s="20"/>
      <c r="E123" s="22"/>
      <c r="F123" s="24"/>
      <c r="G123" s="26"/>
      <c r="H123" s="28"/>
      <c r="I123" s="12"/>
      <c r="J123" s="11"/>
    </row>
    <row r="124" spans="1:10" x14ac:dyDescent="0.35">
      <c r="A124" s="42">
        <f t="shared" si="2"/>
        <v>45899</v>
      </c>
      <c r="B124" s="16"/>
      <c r="C124" s="18"/>
      <c r="D124" s="20"/>
      <c r="E124" s="22"/>
      <c r="F124" s="24"/>
      <c r="G124" s="26"/>
      <c r="H124" s="28"/>
      <c r="I124" s="12"/>
      <c r="J124" s="11"/>
    </row>
    <row r="125" spans="1:10" x14ac:dyDescent="0.35">
      <c r="A125" s="42">
        <f t="shared" si="2"/>
        <v>45900</v>
      </c>
      <c r="B125" s="16"/>
      <c r="C125" s="18"/>
      <c r="D125" s="20"/>
      <c r="E125" s="22"/>
      <c r="F125" s="24"/>
      <c r="G125" s="26"/>
      <c r="H125" s="28"/>
      <c r="I125" s="12"/>
      <c r="J125" s="11"/>
    </row>
    <row r="126" spans="1:10" x14ac:dyDescent="0.35">
      <c r="A126" s="42">
        <f t="shared" si="2"/>
        <v>45901</v>
      </c>
      <c r="B126" s="16"/>
      <c r="C126" s="18"/>
      <c r="D126" s="20"/>
      <c r="E126" s="22"/>
      <c r="F126" s="24"/>
      <c r="G126" s="26"/>
      <c r="H126" s="28"/>
      <c r="I126" s="12"/>
      <c r="J126" s="11"/>
    </row>
    <row r="127" spans="1:10" x14ac:dyDescent="0.35">
      <c r="A127" s="42">
        <f t="shared" si="2"/>
        <v>45902</v>
      </c>
      <c r="B127" s="16"/>
      <c r="C127" s="18"/>
      <c r="D127" s="20"/>
      <c r="E127" s="22"/>
      <c r="F127" s="24"/>
      <c r="G127" s="26"/>
      <c r="H127" s="28"/>
      <c r="I127" s="12"/>
      <c r="J127" s="11"/>
    </row>
    <row r="128" spans="1:10" x14ac:dyDescent="0.35">
      <c r="A128" s="42">
        <f t="shared" si="2"/>
        <v>45903</v>
      </c>
      <c r="B128" s="16"/>
      <c r="C128" s="18"/>
      <c r="D128" s="20"/>
      <c r="E128" s="22"/>
      <c r="F128" s="24"/>
      <c r="G128" s="26"/>
      <c r="H128" s="28"/>
      <c r="I128" s="12"/>
      <c r="J128" s="11"/>
    </row>
    <row r="129" spans="1:10" x14ac:dyDescent="0.35">
      <c r="A129" s="42">
        <f t="shared" si="2"/>
        <v>45904</v>
      </c>
      <c r="B129" s="16"/>
      <c r="C129" s="18"/>
      <c r="D129" s="20"/>
      <c r="E129" s="22"/>
      <c r="F129" s="24"/>
      <c r="G129" s="26"/>
      <c r="H129" s="28"/>
      <c r="I129" s="12"/>
      <c r="J129" s="11"/>
    </row>
    <row r="130" spans="1:10" x14ac:dyDescent="0.35">
      <c r="A130" s="42">
        <f t="shared" si="2"/>
        <v>45905</v>
      </c>
      <c r="B130" s="16"/>
      <c r="C130" s="18"/>
      <c r="D130" s="20"/>
      <c r="E130" s="22"/>
      <c r="F130" s="24"/>
      <c r="G130" s="26"/>
      <c r="H130" s="28"/>
      <c r="I130" s="12"/>
      <c r="J130" s="11"/>
    </row>
    <row r="131" spans="1:10" x14ac:dyDescent="0.35">
      <c r="A131" s="42">
        <f t="shared" si="2"/>
        <v>45906</v>
      </c>
      <c r="B131" s="16"/>
      <c r="C131" s="18"/>
      <c r="D131" s="20"/>
      <c r="E131" s="22"/>
      <c r="F131" s="24"/>
      <c r="G131" s="26"/>
      <c r="H131" s="28"/>
      <c r="I131" s="12"/>
      <c r="J131" s="11"/>
    </row>
    <row r="132" spans="1:10" x14ac:dyDescent="0.35">
      <c r="A132" s="42">
        <f t="shared" si="2"/>
        <v>45907</v>
      </c>
      <c r="B132" s="16"/>
      <c r="C132" s="18"/>
      <c r="D132" s="20"/>
      <c r="E132" s="22"/>
      <c r="F132" s="24"/>
      <c r="G132" s="26"/>
      <c r="H132" s="28"/>
      <c r="I132" s="12"/>
      <c r="J132" s="11"/>
    </row>
    <row r="133" spans="1:10" x14ac:dyDescent="0.35">
      <c r="A133" s="42">
        <f t="shared" si="2"/>
        <v>45908</v>
      </c>
      <c r="B133" s="16"/>
      <c r="C133" s="18"/>
      <c r="D133" s="20"/>
      <c r="E133" s="22"/>
      <c r="F133" s="24"/>
      <c r="G133" s="26"/>
      <c r="H133" s="28"/>
      <c r="I133" s="12"/>
      <c r="J133" s="11"/>
    </row>
    <row r="134" spans="1:10" x14ac:dyDescent="0.35">
      <c r="A134" s="42">
        <f t="shared" si="2"/>
        <v>45909</v>
      </c>
      <c r="B134" s="16"/>
      <c r="C134" s="18"/>
      <c r="D134" s="20"/>
      <c r="E134" s="22"/>
      <c r="F134" s="24"/>
      <c r="G134" s="26"/>
      <c r="H134" s="28"/>
      <c r="I134" s="12"/>
      <c r="J134" s="11"/>
    </row>
    <row r="135" spans="1:10" x14ac:dyDescent="0.35">
      <c r="A135" s="42">
        <f t="shared" si="2"/>
        <v>45910</v>
      </c>
      <c r="B135" s="16"/>
      <c r="C135" s="18"/>
      <c r="D135" s="20"/>
      <c r="E135" s="22"/>
      <c r="F135" s="24"/>
      <c r="G135" s="26"/>
      <c r="H135" s="28"/>
      <c r="I135" s="12"/>
      <c r="J135" s="11"/>
    </row>
    <row r="136" spans="1:10" x14ac:dyDescent="0.35">
      <c r="A136" s="42">
        <f t="shared" si="2"/>
        <v>45911</v>
      </c>
      <c r="B136" s="16"/>
      <c r="C136" s="18"/>
      <c r="D136" s="20"/>
      <c r="E136" s="22"/>
      <c r="F136" s="24"/>
      <c r="G136" s="26"/>
      <c r="H136" s="28"/>
      <c r="I136" s="12"/>
      <c r="J136" s="11"/>
    </row>
    <row r="137" spans="1:10" x14ac:dyDescent="0.35">
      <c r="A137" s="42">
        <f t="shared" si="2"/>
        <v>45912</v>
      </c>
      <c r="B137" s="16"/>
      <c r="C137" s="18"/>
      <c r="D137" s="20"/>
      <c r="E137" s="22"/>
      <c r="F137" s="24"/>
      <c r="G137" s="26"/>
      <c r="H137" s="28"/>
      <c r="I137" s="12"/>
      <c r="J137" s="11"/>
    </row>
    <row r="138" spans="1:10" x14ac:dyDescent="0.35">
      <c r="A138" s="42">
        <f t="shared" si="2"/>
        <v>45913</v>
      </c>
      <c r="B138" s="16"/>
      <c r="C138" s="18"/>
      <c r="D138" s="20"/>
      <c r="E138" s="22"/>
      <c r="F138" s="24"/>
      <c r="G138" s="26"/>
      <c r="H138" s="28"/>
      <c r="I138" s="12"/>
      <c r="J138" s="11"/>
    </row>
    <row r="139" spans="1:10" x14ac:dyDescent="0.35">
      <c r="A139" s="42">
        <f t="shared" si="2"/>
        <v>45914</v>
      </c>
      <c r="B139" s="16"/>
      <c r="C139" s="18"/>
      <c r="D139" s="20"/>
      <c r="E139" s="22"/>
      <c r="F139" s="24"/>
      <c r="G139" s="26"/>
      <c r="H139" s="28"/>
      <c r="I139" s="12"/>
      <c r="J139" s="11"/>
    </row>
    <row r="140" spans="1:10" x14ac:dyDescent="0.35">
      <c r="A140" s="42">
        <f t="shared" si="2"/>
        <v>45915</v>
      </c>
      <c r="B140" s="16"/>
      <c r="C140" s="18"/>
      <c r="D140" s="20"/>
      <c r="E140" s="22"/>
      <c r="F140" s="24"/>
      <c r="G140" s="26"/>
      <c r="H140" s="28"/>
      <c r="I140" s="12"/>
      <c r="J140" s="11"/>
    </row>
    <row r="141" spans="1:10" x14ac:dyDescent="0.35">
      <c r="A141" s="42">
        <f t="shared" si="2"/>
        <v>45916</v>
      </c>
      <c r="B141" s="16"/>
      <c r="C141" s="18"/>
      <c r="D141" s="20"/>
      <c r="E141" s="22"/>
      <c r="F141" s="24"/>
      <c r="G141" s="26"/>
      <c r="H141" s="28"/>
      <c r="I141" s="12"/>
      <c r="J141" s="11"/>
    </row>
    <row r="142" spans="1:10" x14ac:dyDescent="0.35">
      <c r="A142" s="42">
        <f t="shared" si="2"/>
        <v>45917</v>
      </c>
      <c r="B142" s="16"/>
      <c r="C142" s="18"/>
      <c r="D142" s="20"/>
      <c r="E142" s="22"/>
      <c r="F142" s="24"/>
      <c r="G142" s="26"/>
      <c r="H142" s="28"/>
      <c r="I142" s="12"/>
      <c r="J142" s="11"/>
    </row>
    <row r="143" spans="1:10" x14ac:dyDescent="0.35">
      <c r="A143" s="42">
        <f t="shared" si="2"/>
        <v>45918</v>
      </c>
      <c r="B143" s="16"/>
      <c r="C143" s="18"/>
      <c r="D143" s="20"/>
      <c r="E143" s="22"/>
      <c r="F143" s="24"/>
      <c r="G143" s="26"/>
      <c r="H143" s="28"/>
      <c r="I143" s="12"/>
      <c r="J143" s="11"/>
    </row>
    <row r="144" spans="1:10" x14ac:dyDescent="0.35">
      <c r="A144" s="42">
        <f t="shared" si="2"/>
        <v>45919</v>
      </c>
      <c r="B144" s="16"/>
      <c r="C144" s="18"/>
      <c r="D144" s="20"/>
      <c r="E144" s="22"/>
      <c r="F144" s="24"/>
      <c r="G144" s="26"/>
      <c r="H144" s="28"/>
      <c r="I144" s="12"/>
      <c r="J144" s="11"/>
    </row>
    <row r="145" spans="1:10" x14ac:dyDescent="0.35">
      <c r="A145" s="42">
        <f t="shared" si="2"/>
        <v>45920</v>
      </c>
      <c r="B145" s="16"/>
      <c r="C145" s="18"/>
      <c r="D145" s="20"/>
      <c r="E145" s="22"/>
      <c r="F145" s="24"/>
      <c r="G145" s="26"/>
      <c r="H145" s="28"/>
      <c r="I145" s="12"/>
      <c r="J145" s="11"/>
    </row>
    <row r="146" spans="1:10" x14ac:dyDescent="0.35">
      <c r="A146" s="42">
        <f t="shared" si="2"/>
        <v>45921</v>
      </c>
      <c r="B146" s="16"/>
      <c r="C146" s="18"/>
      <c r="D146" s="20"/>
      <c r="E146" s="22"/>
      <c r="F146" s="24"/>
      <c r="G146" s="26"/>
      <c r="H146" s="28"/>
      <c r="I146" s="12"/>
      <c r="J146" s="11"/>
    </row>
    <row r="147" spans="1:10" x14ac:dyDescent="0.35">
      <c r="A147" s="42">
        <f t="shared" si="2"/>
        <v>45922</v>
      </c>
      <c r="B147" s="16"/>
      <c r="C147" s="18"/>
      <c r="D147" s="20"/>
      <c r="E147" s="22"/>
      <c r="F147" s="24"/>
      <c r="G147" s="26"/>
      <c r="H147" s="28"/>
      <c r="I147" s="12"/>
      <c r="J147" s="11"/>
    </row>
    <row r="148" spans="1:10" x14ac:dyDescent="0.35">
      <c r="A148" s="42">
        <f t="shared" si="2"/>
        <v>45923</v>
      </c>
      <c r="B148" s="16"/>
      <c r="C148" s="18"/>
      <c r="D148" s="20"/>
      <c r="E148" s="22"/>
      <c r="F148" s="24"/>
      <c r="G148" s="26"/>
      <c r="H148" s="28"/>
      <c r="I148" s="12"/>
      <c r="J148" s="11"/>
    </row>
    <row r="149" spans="1:10" x14ac:dyDescent="0.35">
      <c r="A149" s="42">
        <f t="shared" si="2"/>
        <v>45924</v>
      </c>
      <c r="B149" s="16"/>
      <c r="C149" s="18"/>
      <c r="D149" s="20"/>
      <c r="E149" s="22"/>
      <c r="F149" s="24"/>
      <c r="G149" s="26"/>
      <c r="H149" s="28"/>
      <c r="I149" s="12"/>
      <c r="J149" s="11"/>
    </row>
    <row r="150" spans="1:10" x14ac:dyDescent="0.35">
      <c r="A150" s="42">
        <f t="shared" si="2"/>
        <v>45925</v>
      </c>
      <c r="B150" s="16"/>
      <c r="C150" s="18"/>
      <c r="D150" s="20"/>
      <c r="E150" s="22"/>
      <c r="F150" s="24"/>
      <c r="G150" s="26"/>
      <c r="H150" s="28"/>
      <c r="I150" s="12"/>
      <c r="J150" s="11"/>
    </row>
    <row r="151" spans="1:10" x14ac:dyDescent="0.35">
      <c r="A151" s="42">
        <f t="shared" si="2"/>
        <v>45926</v>
      </c>
      <c r="B151" s="16"/>
      <c r="C151" s="18"/>
      <c r="D151" s="20"/>
      <c r="E151" s="22"/>
      <c r="F151" s="24"/>
      <c r="G151" s="26"/>
      <c r="H151" s="28"/>
      <c r="I151" s="12"/>
      <c r="J151" s="11"/>
    </row>
    <row r="152" spans="1:10" x14ac:dyDescent="0.35">
      <c r="A152" s="42">
        <f t="shared" si="2"/>
        <v>45927</v>
      </c>
      <c r="B152" s="16"/>
      <c r="C152" s="18"/>
      <c r="D152" s="20"/>
      <c r="E152" s="22"/>
      <c r="F152" s="24"/>
      <c r="G152" s="26"/>
      <c r="H152" s="28"/>
      <c r="I152" s="12"/>
      <c r="J152" s="11"/>
    </row>
    <row r="153" spans="1:10" x14ac:dyDescent="0.35">
      <c r="A153" s="42">
        <f t="shared" si="2"/>
        <v>45928</v>
      </c>
      <c r="B153" s="16"/>
      <c r="C153" s="18"/>
      <c r="D153" s="20"/>
      <c r="E153" s="22"/>
      <c r="F153" s="24"/>
      <c r="G153" s="26"/>
      <c r="H153" s="28"/>
      <c r="I153" s="12"/>
      <c r="J153" s="11"/>
    </row>
    <row r="154" spans="1:10" x14ac:dyDescent="0.35">
      <c r="A154" s="42">
        <f t="shared" si="2"/>
        <v>45929</v>
      </c>
      <c r="B154" s="16"/>
      <c r="C154" s="18"/>
      <c r="D154" s="20"/>
      <c r="E154" s="22"/>
      <c r="F154" s="24"/>
      <c r="G154" s="26"/>
      <c r="H154" s="28"/>
      <c r="I154" s="12"/>
      <c r="J154" s="11"/>
    </row>
    <row r="155" spans="1:10" x14ac:dyDescent="0.35">
      <c r="A155" s="42">
        <f t="shared" si="2"/>
        <v>45930</v>
      </c>
      <c r="B155" s="16"/>
      <c r="C155" s="18"/>
      <c r="D155" s="20"/>
      <c r="E155" s="22"/>
      <c r="F155" s="24"/>
      <c r="G155" s="26"/>
      <c r="H155" s="28"/>
      <c r="I155" s="12"/>
      <c r="J155" s="11"/>
    </row>
    <row r="156" spans="1:10" x14ac:dyDescent="0.35">
      <c r="A156" s="42">
        <f t="shared" si="2"/>
        <v>45931</v>
      </c>
      <c r="B156" s="16"/>
      <c r="C156" s="18"/>
      <c r="D156" s="20"/>
      <c r="E156" s="22"/>
      <c r="F156" s="24"/>
      <c r="G156" s="26"/>
      <c r="H156" s="28"/>
      <c r="I156" s="12"/>
      <c r="J156" s="11"/>
    </row>
    <row r="157" spans="1:10" x14ac:dyDescent="0.35">
      <c r="A157" s="42">
        <f t="shared" si="2"/>
        <v>45932</v>
      </c>
      <c r="B157" s="16"/>
      <c r="C157" s="18"/>
      <c r="D157" s="20"/>
      <c r="E157" s="22"/>
      <c r="F157" s="24"/>
      <c r="G157" s="26"/>
      <c r="H157" s="28"/>
      <c r="I157" s="12"/>
      <c r="J157" s="11"/>
    </row>
    <row r="158" spans="1:10" x14ac:dyDescent="0.35">
      <c r="A158" s="42">
        <f t="shared" si="2"/>
        <v>45933</v>
      </c>
      <c r="B158" s="16"/>
      <c r="C158" s="18"/>
      <c r="D158" s="20"/>
      <c r="E158" s="22"/>
      <c r="F158" s="24"/>
      <c r="G158" s="26"/>
      <c r="H158" s="28"/>
      <c r="I158" s="12"/>
      <c r="J158" s="11"/>
    </row>
    <row r="159" spans="1:10" x14ac:dyDescent="0.35">
      <c r="A159" s="42">
        <f t="shared" si="2"/>
        <v>45934</v>
      </c>
      <c r="B159" s="16"/>
      <c r="C159" s="18"/>
      <c r="D159" s="20"/>
      <c r="E159" s="22"/>
      <c r="F159" s="24"/>
      <c r="G159" s="26"/>
      <c r="H159" s="28"/>
      <c r="I159" s="12"/>
      <c r="J159" s="11"/>
    </row>
    <row r="160" spans="1:10" x14ac:dyDescent="0.35">
      <c r="A160" s="42">
        <f t="shared" si="2"/>
        <v>45935</v>
      </c>
      <c r="B160" s="16"/>
      <c r="C160" s="18"/>
      <c r="D160" s="20"/>
      <c r="E160" s="22"/>
      <c r="F160" s="24"/>
      <c r="G160" s="26"/>
      <c r="H160" s="28"/>
      <c r="I160" s="12"/>
      <c r="J160" s="11"/>
    </row>
    <row r="161" spans="1:10" x14ac:dyDescent="0.35">
      <c r="A161" s="42">
        <f t="shared" si="2"/>
        <v>45936</v>
      </c>
      <c r="B161" s="16"/>
      <c r="C161" s="18"/>
      <c r="D161" s="20"/>
      <c r="E161" s="22"/>
      <c r="F161" s="24"/>
      <c r="G161" s="26"/>
      <c r="H161" s="28"/>
      <c r="I161" s="12"/>
      <c r="J161" s="11"/>
    </row>
    <row r="162" spans="1:10" x14ac:dyDescent="0.35">
      <c r="A162" s="42">
        <f t="shared" ref="A162:A225" si="3">A161+1</f>
        <v>45937</v>
      </c>
      <c r="B162" s="16"/>
      <c r="C162" s="18"/>
      <c r="D162" s="20"/>
      <c r="E162" s="22"/>
      <c r="F162" s="24"/>
      <c r="G162" s="26"/>
      <c r="H162" s="28"/>
      <c r="I162" s="12"/>
      <c r="J162" s="11"/>
    </row>
    <row r="163" spans="1:10" x14ac:dyDescent="0.35">
      <c r="A163" s="42">
        <f t="shared" si="3"/>
        <v>45938</v>
      </c>
      <c r="B163" s="16"/>
      <c r="C163" s="18"/>
      <c r="D163" s="20"/>
      <c r="E163" s="22"/>
      <c r="F163" s="24"/>
      <c r="G163" s="26"/>
      <c r="H163" s="28"/>
      <c r="I163" s="12"/>
      <c r="J163" s="11"/>
    </row>
    <row r="164" spans="1:10" x14ac:dyDescent="0.35">
      <c r="A164" s="42">
        <f t="shared" si="3"/>
        <v>45939</v>
      </c>
      <c r="B164" s="16"/>
      <c r="C164" s="18"/>
      <c r="D164" s="20"/>
      <c r="E164" s="22"/>
      <c r="F164" s="24"/>
      <c r="G164" s="26"/>
      <c r="H164" s="28"/>
      <c r="I164" s="12"/>
      <c r="J164" s="11"/>
    </row>
    <row r="165" spans="1:10" x14ac:dyDescent="0.35">
      <c r="A165" s="42">
        <f t="shared" si="3"/>
        <v>45940</v>
      </c>
      <c r="B165" s="16"/>
      <c r="C165" s="18"/>
      <c r="D165" s="20"/>
      <c r="E165" s="22"/>
      <c r="F165" s="24"/>
      <c r="G165" s="26"/>
      <c r="H165" s="28"/>
      <c r="I165" s="12"/>
      <c r="J165" s="11"/>
    </row>
    <row r="166" spans="1:10" x14ac:dyDescent="0.35">
      <c r="A166" s="42">
        <f t="shared" si="3"/>
        <v>45941</v>
      </c>
      <c r="B166" s="16"/>
      <c r="C166" s="18"/>
      <c r="D166" s="20"/>
      <c r="E166" s="22"/>
      <c r="F166" s="24"/>
      <c r="G166" s="26"/>
      <c r="H166" s="28"/>
      <c r="I166" s="12"/>
      <c r="J166" s="11"/>
    </row>
    <row r="167" spans="1:10" x14ac:dyDescent="0.35">
      <c r="A167" s="42">
        <f t="shared" si="3"/>
        <v>45942</v>
      </c>
      <c r="B167" s="16"/>
      <c r="C167" s="18"/>
      <c r="D167" s="20"/>
      <c r="E167" s="22"/>
      <c r="F167" s="24"/>
      <c r="G167" s="26"/>
      <c r="H167" s="28"/>
      <c r="I167" s="12"/>
      <c r="J167" s="11"/>
    </row>
    <row r="168" spans="1:10" x14ac:dyDescent="0.35">
      <c r="A168" s="42">
        <f t="shared" si="3"/>
        <v>45943</v>
      </c>
      <c r="B168" s="16"/>
      <c r="C168" s="18"/>
      <c r="D168" s="20"/>
      <c r="E168" s="22"/>
      <c r="F168" s="24"/>
      <c r="G168" s="26"/>
      <c r="H168" s="28"/>
      <c r="I168" s="12"/>
      <c r="J168" s="11"/>
    </row>
    <row r="169" spans="1:10" x14ac:dyDescent="0.35">
      <c r="A169" s="42">
        <f t="shared" si="3"/>
        <v>45944</v>
      </c>
      <c r="B169" s="16"/>
      <c r="C169" s="18"/>
      <c r="D169" s="20"/>
      <c r="E169" s="22"/>
      <c r="F169" s="24"/>
      <c r="G169" s="26"/>
      <c r="H169" s="28"/>
      <c r="I169" s="12"/>
      <c r="J169" s="11"/>
    </row>
    <row r="170" spans="1:10" x14ac:dyDescent="0.35">
      <c r="A170" s="42">
        <f t="shared" si="3"/>
        <v>45945</v>
      </c>
      <c r="B170" s="16"/>
      <c r="C170" s="18"/>
      <c r="D170" s="20"/>
      <c r="E170" s="22"/>
      <c r="F170" s="24"/>
      <c r="G170" s="26"/>
      <c r="H170" s="28"/>
      <c r="I170" s="12"/>
      <c r="J170" s="11"/>
    </row>
    <row r="171" spans="1:10" x14ac:dyDescent="0.35">
      <c r="A171" s="42">
        <f t="shared" si="3"/>
        <v>45946</v>
      </c>
      <c r="B171" s="16"/>
      <c r="C171" s="18"/>
      <c r="D171" s="20"/>
      <c r="E171" s="22"/>
      <c r="F171" s="24"/>
      <c r="G171" s="26"/>
      <c r="H171" s="28"/>
      <c r="I171" s="12"/>
      <c r="J171" s="11"/>
    </row>
    <row r="172" spans="1:10" x14ac:dyDescent="0.35">
      <c r="A172" s="42">
        <f t="shared" si="3"/>
        <v>45947</v>
      </c>
      <c r="B172" s="16"/>
      <c r="C172" s="18"/>
      <c r="D172" s="20"/>
      <c r="E172" s="22"/>
      <c r="F172" s="24"/>
      <c r="G172" s="26"/>
      <c r="H172" s="28"/>
      <c r="I172" s="12"/>
      <c r="J172" s="11"/>
    </row>
    <row r="173" spans="1:10" x14ac:dyDescent="0.35">
      <c r="A173" s="42">
        <f t="shared" si="3"/>
        <v>45948</v>
      </c>
      <c r="B173" s="16"/>
      <c r="C173" s="18"/>
      <c r="D173" s="20"/>
      <c r="E173" s="22"/>
      <c r="F173" s="24"/>
      <c r="G173" s="26"/>
      <c r="H173" s="28"/>
      <c r="I173" s="12"/>
      <c r="J173" s="11"/>
    </row>
    <row r="174" spans="1:10" x14ac:dyDescent="0.35">
      <c r="A174" s="42">
        <f t="shared" si="3"/>
        <v>45949</v>
      </c>
      <c r="B174" s="16"/>
      <c r="C174" s="18"/>
      <c r="D174" s="20"/>
      <c r="E174" s="22"/>
      <c r="F174" s="24"/>
      <c r="G174" s="26"/>
      <c r="H174" s="28"/>
      <c r="I174" s="12"/>
      <c r="J174" s="11"/>
    </row>
    <row r="175" spans="1:10" x14ac:dyDescent="0.35">
      <c r="A175" s="42">
        <f t="shared" si="3"/>
        <v>45950</v>
      </c>
      <c r="B175" s="16"/>
      <c r="C175" s="18"/>
      <c r="D175" s="20"/>
      <c r="E175" s="22"/>
      <c r="F175" s="24"/>
      <c r="G175" s="26"/>
      <c r="H175" s="28"/>
      <c r="I175" s="12"/>
      <c r="J175" s="11"/>
    </row>
    <row r="176" spans="1:10" x14ac:dyDescent="0.35">
      <c r="A176" s="42">
        <f t="shared" si="3"/>
        <v>45951</v>
      </c>
      <c r="B176" s="16"/>
      <c r="C176" s="18"/>
      <c r="D176" s="20"/>
      <c r="E176" s="22"/>
      <c r="F176" s="24"/>
      <c r="G176" s="26"/>
      <c r="H176" s="28"/>
      <c r="I176" s="12"/>
      <c r="J176" s="11"/>
    </row>
    <row r="177" spans="1:10" x14ac:dyDescent="0.35">
      <c r="A177" s="42">
        <f t="shared" si="3"/>
        <v>45952</v>
      </c>
      <c r="B177" s="16"/>
      <c r="C177" s="18"/>
      <c r="D177" s="20"/>
      <c r="E177" s="22"/>
      <c r="F177" s="24"/>
      <c r="G177" s="26"/>
      <c r="H177" s="28"/>
      <c r="I177" s="12"/>
      <c r="J177" s="11"/>
    </row>
    <row r="178" spans="1:10" x14ac:dyDescent="0.35">
      <c r="A178" s="42">
        <f t="shared" si="3"/>
        <v>45953</v>
      </c>
      <c r="B178" s="16"/>
      <c r="C178" s="18"/>
      <c r="D178" s="20"/>
      <c r="E178" s="22"/>
      <c r="F178" s="24"/>
      <c r="G178" s="26"/>
      <c r="H178" s="28"/>
      <c r="I178" s="12"/>
      <c r="J178" s="11"/>
    </row>
    <row r="179" spans="1:10" x14ac:dyDescent="0.35">
      <c r="A179" s="42">
        <f t="shared" si="3"/>
        <v>45954</v>
      </c>
      <c r="B179" s="16"/>
      <c r="C179" s="18"/>
      <c r="D179" s="20"/>
      <c r="E179" s="22"/>
      <c r="F179" s="24"/>
      <c r="G179" s="26"/>
      <c r="H179" s="28"/>
      <c r="I179" s="12"/>
      <c r="J179" s="11"/>
    </row>
    <row r="180" spans="1:10" x14ac:dyDescent="0.35">
      <c r="A180" s="42">
        <f t="shared" si="3"/>
        <v>45955</v>
      </c>
      <c r="B180" s="16"/>
      <c r="C180" s="18"/>
      <c r="D180" s="20"/>
      <c r="E180" s="22"/>
      <c r="F180" s="24"/>
      <c r="G180" s="26"/>
      <c r="H180" s="28"/>
      <c r="I180" s="12"/>
      <c r="J180" s="11"/>
    </row>
    <row r="181" spans="1:10" x14ac:dyDescent="0.35">
      <c r="A181" s="42">
        <f t="shared" si="3"/>
        <v>45956</v>
      </c>
      <c r="B181" s="16"/>
      <c r="C181" s="18"/>
      <c r="D181" s="20"/>
      <c r="E181" s="22"/>
      <c r="F181" s="24"/>
      <c r="G181" s="26"/>
      <c r="H181" s="28"/>
      <c r="I181" s="12"/>
      <c r="J181" s="11"/>
    </row>
    <row r="182" spans="1:10" x14ac:dyDescent="0.35">
      <c r="A182" s="42">
        <f t="shared" si="3"/>
        <v>45957</v>
      </c>
      <c r="B182" s="16"/>
      <c r="C182" s="18"/>
      <c r="D182" s="20"/>
      <c r="E182" s="22"/>
      <c r="F182" s="24"/>
      <c r="G182" s="26"/>
      <c r="H182" s="28"/>
      <c r="I182" s="12"/>
      <c r="J182" s="11"/>
    </row>
    <row r="183" spans="1:10" x14ac:dyDescent="0.35">
      <c r="A183" s="42">
        <f t="shared" si="3"/>
        <v>45958</v>
      </c>
      <c r="B183" s="16"/>
      <c r="C183" s="18"/>
      <c r="D183" s="20"/>
      <c r="E183" s="22"/>
      <c r="F183" s="24"/>
      <c r="G183" s="26"/>
      <c r="H183" s="28"/>
      <c r="I183" s="12"/>
      <c r="J183" s="11"/>
    </row>
    <row r="184" spans="1:10" x14ac:dyDescent="0.35">
      <c r="A184" s="42">
        <f t="shared" si="3"/>
        <v>45959</v>
      </c>
      <c r="B184" s="16"/>
      <c r="C184" s="18"/>
      <c r="D184" s="20"/>
      <c r="E184" s="22"/>
      <c r="F184" s="24"/>
      <c r="G184" s="26"/>
      <c r="H184" s="28"/>
      <c r="I184" s="12"/>
      <c r="J184" s="11"/>
    </row>
    <row r="185" spans="1:10" x14ac:dyDescent="0.35">
      <c r="A185" s="42">
        <f t="shared" si="3"/>
        <v>45960</v>
      </c>
      <c r="B185" s="16"/>
      <c r="C185" s="18"/>
      <c r="D185" s="20"/>
      <c r="E185" s="22"/>
      <c r="F185" s="24"/>
      <c r="G185" s="26"/>
      <c r="H185" s="28"/>
      <c r="I185" s="12"/>
      <c r="J185" s="11"/>
    </row>
    <row r="186" spans="1:10" x14ac:dyDescent="0.35">
      <c r="A186" s="42">
        <f t="shared" si="3"/>
        <v>45961</v>
      </c>
      <c r="B186" s="16"/>
      <c r="C186" s="18"/>
      <c r="D186" s="20"/>
      <c r="E186" s="22"/>
      <c r="F186" s="24"/>
      <c r="G186" s="26"/>
      <c r="H186" s="28"/>
      <c r="I186" s="12"/>
      <c r="J186" s="11"/>
    </row>
    <row r="187" spans="1:10" x14ac:dyDescent="0.35">
      <c r="A187" s="42">
        <f t="shared" si="3"/>
        <v>45962</v>
      </c>
      <c r="B187" s="16"/>
      <c r="C187" s="18"/>
      <c r="D187" s="20"/>
      <c r="E187" s="22"/>
      <c r="F187" s="24"/>
      <c r="G187" s="26"/>
      <c r="H187" s="28"/>
      <c r="I187" s="12"/>
      <c r="J187" s="11"/>
    </row>
    <row r="188" spans="1:10" x14ac:dyDescent="0.35">
      <c r="A188" s="42">
        <f t="shared" si="3"/>
        <v>45963</v>
      </c>
      <c r="B188" s="16"/>
      <c r="C188" s="18"/>
      <c r="D188" s="20"/>
      <c r="E188" s="22"/>
      <c r="F188" s="24"/>
      <c r="G188" s="26"/>
      <c r="H188" s="28"/>
      <c r="I188" s="12"/>
      <c r="J188" s="11"/>
    </row>
    <row r="189" spans="1:10" x14ac:dyDescent="0.35">
      <c r="A189" s="42">
        <f t="shared" si="3"/>
        <v>45964</v>
      </c>
      <c r="B189" s="16"/>
      <c r="C189" s="18"/>
      <c r="D189" s="20"/>
      <c r="E189" s="22"/>
      <c r="F189" s="24"/>
      <c r="G189" s="26"/>
      <c r="H189" s="28"/>
      <c r="I189" s="12"/>
      <c r="J189" s="11"/>
    </row>
    <row r="190" spans="1:10" x14ac:dyDescent="0.35">
      <c r="A190" s="42">
        <f t="shared" si="3"/>
        <v>45965</v>
      </c>
      <c r="B190" s="16"/>
      <c r="C190" s="18"/>
      <c r="D190" s="20"/>
      <c r="E190" s="22"/>
      <c r="F190" s="24"/>
      <c r="G190" s="26"/>
      <c r="H190" s="28"/>
      <c r="I190" s="12"/>
      <c r="J190" s="11"/>
    </row>
    <row r="191" spans="1:10" x14ac:dyDescent="0.35">
      <c r="A191" s="42">
        <f t="shared" si="3"/>
        <v>45966</v>
      </c>
      <c r="B191" s="16"/>
      <c r="C191" s="18"/>
      <c r="D191" s="20"/>
      <c r="E191" s="22"/>
      <c r="F191" s="24"/>
      <c r="G191" s="26"/>
      <c r="H191" s="28"/>
      <c r="I191" s="12"/>
      <c r="J191" s="11"/>
    </row>
    <row r="192" spans="1:10" x14ac:dyDescent="0.35">
      <c r="A192" s="42">
        <f t="shared" si="3"/>
        <v>45967</v>
      </c>
      <c r="B192" s="16"/>
      <c r="C192" s="18"/>
      <c r="D192" s="20"/>
      <c r="E192" s="22"/>
      <c r="F192" s="24"/>
      <c r="G192" s="26"/>
      <c r="H192" s="28"/>
      <c r="I192" s="12"/>
      <c r="J192" s="11"/>
    </row>
    <row r="193" spans="1:10" x14ac:dyDescent="0.35">
      <c r="A193" s="42">
        <f t="shared" si="3"/>
        <v>45968</v>
      </c>
      <c r="B193" s="16"/>
      <c r="C193" s="18"/>
      <c r="D193" s="20"/>
      <c r="E193" s="22"/>
      <c r="F193" s="24"/>
      <c r="G193" s="26"/>
      <c r="H193" s="28"/>
      <c r="I193" s="12"/>
      <c r="J193" s="11"/>
    </row>
    <row r="194" spans="1:10" x14ac:dyDescent="0.35">
      <c r="A194" s="42">
        <f t="shared" si="3"/>
        <v>45969</v>
      </c>
      <c r="B194" s="16"/>
      <c r="C194" s="18"/>
      <c r="D194" s="20"/>
      <c r="E194" s="22"/>
      <c r="F194" s="24"/>
      <c r="G194" s="26"/>
      <c r="H194" s="28"/>
      <c r="I194" s="12"/>
      <c r="J194" s="11"/>
    </row>
    <row r="195" spans="1:10" x14ac:dyDescent="0.35">
      <c r="A195" s="42">
        <f t="shared" si="3"/>
        <v>45970</v>
      </c>
      <c r="B195" s="16"/>
      <c r="C195" s="18"/>
      <c r="D195" s="20"/>
      <c r="E195" s="22"/>
      <c r="F195" s="24"/>
      <c r="G195" s="26"/>
      <c r="H195" s="28"/>
      <c r="I195" s="12"/>
      <c r="J195" s="11"/>
    </row>
    <row r="196" spans="1:10" x14ac:dyDescent="0.35">
      <c r="A196" s="42">
        <f t="shared" si="3"/>
        <v>45971</v>
      </c>
      <c r="B196" s="16"/>
      <c r="C196" s="18"/>
      <c r="D196" s="20"/>
      <c r="E196" s="22"/>
      <c r="F196" s="24"/>
      <c r="G196" s="26"/>
      <c r="H196" s="28"/>
      <c r="I196" s="12"/>
      <c r="J196" s="11"/>
    </row>
    <row r="197" spans="1:10" x14ac:dyDescent="0.35">
      <c r="A197" s="42">
        <f t="shared" si="3"/>
        <v>45972</v>
      </c>
      <c r="B197" s="16"/>
      <c r="C197" s="18"/>
      <c r="D197" s="20"/>
      <c r="E197" s="22"/>
      <c r="F197" s="24"/>
      <c r="G197" s="26"/>
      <c r="H197" s="28"/>
      <c r="I197" s="12"/>
      <c r="J197" s="11"/>
    </row>
    <row r="198" spans="1:10" x14ac:dyDescent="0.35">
      <c r="A198" s="42">
        <f t="shared" si="3"/>
        <v>45973</v>
      </c>
      <c r="B198" s="16"/>
      <c r="C198" s="18"/>
      <c r="D198" s="20"/>
      <c r="E198" s="22"/>
      <c r="F198" s="24"/>
      <c r="G198" s="26"/>
      <c r="H198" s="28"/>
      <c r="I198" s="12"/>
      <c r="J198" s="11"/>
    </row>
    <row r="199" spans="1:10" x14ac:dyDescent="0.35">
      <c r="A199" s="42">
        <f t="shared" si="3"/>
        <v>45974</v>
      </c>
      <c r="B199" s="16"/>
      <c r="C199" s="18"/>
      <c r="D199" s="20"/>
      <c r="E199" s="22"/>
      <c r="F199" s="24"/>
      <c r="G199" s="26"/>
      <c r="H199" s="28"/>
      <c r="I199" s="12"/>
      <c r="J199" s="11"/>
    </row>
    <row r="200" spans="1:10" x14ac:dyDescent="0.35">
      <c r="A200" s="42">
        <f t="shared" si="3"/>
        <v>45975</v>
      </c>
      <c r="B200" s="16"/>
      <c r="C200" s="18"/>
      <c r="D200" s="20"/>
      <c r="E200" s="22"/>
      <c r="F200" s="24"/>
      <c r="G200" s="26"/>
      <c r="H200" s="28"/>
      <c r="I200" s="12"/>
      <c r="J200" s="11"/>
    </row>
    <row r="201" spans="1:10" x14ac:dyDescent="0.35">
      <c r="A201" s="42">
        <f t="shared" si="3"/>
        <v>45976</v>
      </c>
      <c r="B201" s="16"/>
      <c r="C201" s="18"/>
      <c r="D201" s="20"/>
      <c r="E201" s="22"/>
      <c r="F201" s="24"/>
      <c r="G201" s="26"/>
      <c r="H201" s="28"/>
      <c r="I201" s="12"/>
      <c r="J201" s="11"/>
    </row>
    <row r="202" spans="1:10" x14ac:dyDescent="0.35">
      <c r="A202" s="42">
        <f t="shared" si="3"/>
        <v>45977</v>
      </c>
      <c r="B202" s="16"/>
      <c r="C202" s="18"/>
      <c r="D202" s="20"/>
      <c r="E202" s="22"/>
      <c r="F202" s="24"/>
      <c r="G202" s="26"/>
      <c r="H202" s="28"/>
      <c r="I202" s="12"/>
      <c r="J202" s="11"/>
    </row>
    <row r="203" spans="1:10" x14ac:dyDescent="0.35">
      <c r="A203" s="42">
        <f t="shared" si="3"/>
        <v>45978</v>
      </c>
      <c r="B203" s="16"/>
      <c r="C203" s="18"/>
      <c r="D203" s="20"/>
      <c r="E203" s="22"/>
      <c r="F203" s="24"/>
      <c r="G203" s="26"/>
      <c r="H203" s="28"/>
      <c r="I203" s="12"/>
      <c r="J203" s="11"/>
    </row>
    <row r="204" spans="1:10" x14ac:dyDescent="0.35">
      <c r="A204" s="42">
        <f t="shared" si="3"/>
        <v>45979</v>
      </c>
      <c r="B204" s="16"/>
      <c r="C204" s="18"/>
      <c r="D204" s="20"/>
      <c r="E204" s="22"/>
      <c r="F204" s="24"/>
      <c r="G204" s="26"/>
      <c r="H204" s="28"/>
      <c r="I204" s="12"/>
      <c r="J204" s="11"/>
    </row>
    <row r="205" spans="1:10" x14ac:dyDescent="0.35">
      <c r="A205" s="42">
        <f t="shared" si="3"/>
        <v>45980</v>
      </c>
      <c r="B205" s="16"/>
      <c r="C205" s="18"/>
      <c r="D205" s="20"/>
      <c r="E205" s="22"/>
      <c r="F205" s="24"/>
      <c r="G205" s="26"/>
      <c r="H205" s="28"/>
      <c r="I205" s="12"/>
      <c r="J205" s="11"/>
    </row>
    <row r="206" spans="1:10" x14ac:dyDescent="0.35">
      <c r="A206" s="42">
        <f t="shared" si="3"/>
        <v>45981</v>
      </c>
      <c r="B206" s="16"/>
      <c r="C206" s="18"/>
      <c r="D206" s="20"/>
      <c r="E206" s="22"/>
      <c r="F206" s="24"/>
      <c r="G206" s="26"/>
      <c r="H206" s="28"/>
      <c r="I206" s="12"/>
      <c r="J206" s="11"/>
    </row>
    <row r="207" spans="1:10" x14ac:dyDescent="0.35">
      <c r="A207" s="42">
        <f t="shared" si="3"/>
        <v>45982</v>
      </c>
      <c r="B207" s="16"/>
      <c r="C207" s="18"/>
      <c r="D207" s="20"/>
      <c r="E207" s="22"/>
      <c r="F207" s="24"/>
      <c r="G207" s="26"/>
      <c r="H207" s="28"/>
      <c r="I207" s="12"/>
      <c r="J207" s="11"/>
    </row>
    <row r="208" spans="1:10" x14ac:dyDescent="0.35">
      <c r="A208" s="42">
        <f t="shared" si="3"/>
        <v>45983</v>
      </c>
      <c r="B208" s="16"/>
      <c r="C208" s="18"/>
      <c r="D208" s="20"/>
      <c r="E208" s="22"/>
      <c r="F208" s="24"/>
      <c r="G208" s="26"/>
      <c r="H208" s="28"/>
      <c r="I208" s="12"/>
      <c r="J208" s="11"/>
    </row>
    <row r="209" spans="1:10" x14ac:dyDescent="0.35">
      <c r="A209" s="42">
        <f t="shared" si="3"/>
        <v>45984</v>
      </c>
      <c r="B209" s="16"/>
      <c r="C209" s="18"/>
      <c r="D209" s="20"/>
      <c r="E209" s="22"/>
      <c r="F209" s="24"/>
      <c r="G209" s="26"/>
      <c r="H209" s="28"/>
      <c r="I209" s="12"/>
      <c r="J209" s="11"/>
    </row>
    <row r="210" spans="1:10" x14ac:dyDescent="0.35">
      <c r="A210" s="42">
        <f t="shared" si="3"/>
        <v>45985</v>
      </c>
      <c r="B210" s="16"/>
      <c r="C210" s="18"/>
      <c r="D210" s="20"/>
      <c r="E210" s="22"/>
      <c r="F210" s="24"/>
      <c r="G210" s="26"/>
      <c r="H210" s="28"/>
      <c r="I210" s="12"/>
      <c r="J210" s="11"/>
    </row>
    <row r="211" spans="1:10" x14ac:dyDescent="0.35">
      <c r="A211" s="42">
        <f t="shared" si="3"/>
        <v>45986</v>
      </c>
      <c r="B211" s="16"/>
      <c r="C211" s="18"/>
      <c r="D211" s="20"/>
      <c r="E211" s="22"/>
      <c r="F211" s="24"/>
      <c r="G211" s="26"/>
      <c r="H211" s="28"/>
      <c r="I211" s="12"/>
      <c r="J211" s="11"/>
    </row>
    <row r="212" spans="1:10" x14ac:dyDescent="0.35">
      <c r="A212" s="42">
        <f t="shared" si="3"/>
        <v>45987</v>
      </c>
      <c r="B212" s="16"/>
      <c r="C212" s="18"/>
      <c r="D212" s="20"/>
      <c r="E212" s="22"/>
      <c r="F212" s="24"/>
      <c r="G212" s="26"/>
      <c r="H212" s="28"/>
      <c r="I212" s="12"/>
      <c r="J212" s="11"/>
    </row>
    <row r="213" spans="1:10" x14ac:dyDescent="0.35">
      <c r="A213" s="42">
        <f t="shared" si="3"/>
        <v>45988</v>
      </c>
      <c r="B213" s="16"/>
      <c r="C213" s="18"/>
      <c r="D213" s="20"/>
      <c r="E213" s="22"/>
      <c r="F213" s="24"/>
      <c r="G213" s="26"/>
      <c r="H213" s="28"/>
      <c r="I213" s="12"/>
      <c r="J213" s="11"/>
    </row>
    <row r="214" spans="1:10" x14ac:dyDescent="0.35">
      <c r="A214" s="42">
        <f t="shared" si="3"/>
        <v>45989</v>
      </c>
      <c r="B214" s="16"/>
      <c r="C214" s="18"/>
      <c r="D214" s="20"/>
      <c r="E214" s="22"/>
      <c r="F214" s="24"/>
      <c r="G214" s="26"/>
      <c r="H214" s="28"/>
      <c r="I214" s="12"/>
      <c r="J214" s="11"/>
    </row>
    <row r="215" spans="1:10" x14ac:dyDescent="0.35">
      <c r="A215" s="42">
        <f t="shared" si="3"/>
        <v>45990</v>
      </c>
      <c r="B215" s="16"/>
      <c r="C215" s="18"/>
      <c r="D215" s="20"/>
      <c r="E215" s="22"/>
      <c r="F215" s="24"/>
      <c r="G215" s="26"/>
      <c r="H215" s="28"/>
      <c r="I215" s="12"/>
      <c r="J215" s="11"/>
    </row>
    <row r="216" spans="1:10" x14ac:dyDescent="0.35">
      <c r="A216" s="42">
        <f t="shared" si="3"/>
        <v>45991</v>
      </c>
      <c r="B216" s="16"/>
      <c r="C216" s="18"/>
      <c r="D216" s="20"/>
      <c r="E216" s="22"/>
      <c r="F216" s="24"/>
      <c r="G216" s="26"/>
      <c r="H216" s="28"/>
      <c r="I216" s="12"/>
      <c r="J216" s="11"/>
    </row>
    <row r="217" spans="1:10" x14ac:dyDescent="0.35">
      <c r="A217" s="42">
        <f t="shared" si="3"/>
        <v>45992</v>
      </c>
      <c r="B217" s="16"/>
      <c r="C217" s="18"/>
      <c r="D217" s="20"/>
      <c r="E217" s="22"/>
      <c r="F217" s="24"/>
      <c r="G217" s="26"/>
      <c r="H217" s="28"/>
      <c r="I217" s="12"/>
      <c r="J217" s="11"/>
    </row>
    <row r="218" spans="1:10" x14ac:dyDescent="0.35">
      <c r="A218" s="42">
        <f t="shared" si="3"/>
        <v>45993</v>
      </c>
      <c r="B218" s="16"/>
      <c r="C218" s="18"/>
      <c r="D218" s="20"/>
      <c r="E218" s="22"/>
      <c r="F218" s="24"/>
      <c r="G218" s="26"/>
      <c r="H218" s="28"/>
      <c r="I218" s="12"/>
      <c r="J218" s="11"/>
    </row>
    <row r="219" spans="1:10" x14ac:dyDescent="0.35">
      <c r="A219" s="42">
        <f t="shared" si="3"/>
        <v>45994</v>
      </c>
      <c r="B219" s="16"/>
      <c r="C219" s="18"/>
      <c r="D219" s="20"/>
      <c r="E219" s="22"/>
      <c r="F219" s="24"/>
      <c r="G219" s="26"/>
      <c r="H219" s="28"/>
      <c r="I219" s="12"/>
      <c r="J219" s="11"/>
    </row>
    <row r="220" spans="1:10" x14ac:dyDescent="0.35">
      <c r="A220" s="42">
        <f t="shared" si="3"/>
        <v>45995</v>
      </c>
      <c r="B220" s="16"/>
      <c r="C220" s="18"/>
      <c r="D220" s="20"/>
      <c r="E220" s="22"/>
      <c r="F220" s="24"/>
      <c r="G220" s="26"/>
      <c r="H220" s="28"/>
      <c r="I220" s="12"/>
      <c r="J220" s="11"/>
    </row>
    <row r="221" spans="1:10" x14ac:dyDescent="0.35">
      <c r="A221" s="42">
        <f t="shared" si="3"/>
        <v>45996</v>
      </c>
      <c r="B221" s="16"/>
      <c r="C221" s="18"/>
      <c r="D221" s="20"/>
      <c r="E221" s="22"/>
      <c r="F221" s="24"/>
      <c r="G221" s="26"/>
      <c r="H221" s="28"/>
      <c r="I221" s="12"/>
      <c r="J221" s="11"/>
    </row>
    <row r="222" spans="1:10" x14ac:dyDescent="0.35">
      <c r="A222" s="42">
        <f t="shared" si="3"/>
        <v>45997</v>
      </c>
      <c r="B222" s="16"/>
      <c r="C222" s="18"/>
      <c r="D222" s="20"/>
      <c r="E222" s="22"/>
      <c r="F222" s="24"/>
      <c r="G222" s="26"/>
      <c r="H222" s="28"/>
      <c r="I222" s="12"/>
      <c r="J222" s="11"/>
    </row>
    <row r="223" spans="1:10" x14ac:dyDescent="0.35">
      <c r="A223" s="42">
        <f t="shared" si="3"/>
        <v>45998</v>
      </c>
      <c r="B223" s="16"/>
      <c r="C223" s="18"/>
      <c r="D223" s="20"/>
      <c r="E223" s="22"/>
      <c r="F223" s="24"/>
      <c r="G223" s="26"/>
      <c r="H223" s="28"/>
      <c r="I223" s="12"/>
      <c r="J223" s="11"/>
    </row>
    <row r="224" spans="1:10" x14ac:dyDescent="0.35">
      <c r="A224" s="42">
        <f t="shared" si="3"/>
        <v>45999</v>
      </c>
      <c r="B224" s="16"/>
      <c r="C224" s="18"/>
      <c r="D224" s="20"/>
      <c r="E224" s="22"/>
      <c r="F224" s="24"/>
      <c r="G224" s="26"/>
      <c r="H224" s="28"/>
      <c r="I224" s="12"/>
      <c r="J224" s="11"/>
    </row>
    <row r="225" spans="1:10" x14ac:dyDescent="0.35">
      <c r="A225" s="42">
        <f t="shared" si="3"/>
        <v>46000</v>
      </c>
      <c r="B225" s="16"/>
      <c r="C225" s="18"/>
      <c r="D225" s="20"/>
      <c r="E225" s="22"/>
      <c r="F225" s="24"/>
      <c r="G225" s="26"/>
      <c r="H225" s="28"/>
      <c r="I225" s="12"/>
      <c r="J225" s="11"/>
    </row>
    <row r="226" spans="1:10" x14ac:dyDescent="0.35">
      <c r="A226" s="42">
        <f t="shared" ref="A226:A247" si="4">A225+1</f>
        <v>46001</v>
      </c>
      <c r="B226" s="16"/>
      <c r="C226" s="18"/>
      <c r="D226" s="20"/>
      <c r="E226" s="22"/>
      <c r="F226" s="24"/>
      <c r="G226" s="26"/>
      <c r="H226" s="28"/>
      <c r="I226" s="12"/>
      <c r="J226" s="11"/>
    </row>
    <row r="227" spans="1:10" x14ac:dyDescent="0.35">
      <c r="A227" s="42">
        <f t="shared" si="4"/>
        <v>46002</v>
      </c>
      <c r="B227" s="16"/>
      <c r="C227" s="18"/>
      <c r="D227" s="20"/>
      <c r="E227" s="22"/>
      <c r="F227" s="24"/>
      <c r="G227" s="26"/>
      <c r="H227" s="28"/>
      <c r="I227" s="12"/>
      <c r="J227" s="11"/>
    </row>
    <row r="228" spans="1:10" x14ac:dyDescent="0.35">
      <c r="A228" s="42">
        <f t="shared" si="4"/>
        <v>46003</v>
      </c>
      <c r="B228" s="16"/>
      <c r="C228" s="18"/>
      <c r="D228" s="20"/>
      <c r="E228" s="22"/>
      <c r="F228" s="24"/>
      <c r="G228" s="26"/>
      <c r="H228" s="28"/>
      <c r="I228" s="12"/>
      <c r="J228" s="11"/>
    </row>
    <row r="229" spans="1:10" x14ac:dyDescent="0.35">
      <c r="A229" s="42">
        <f t="shared" si="4"/>
        <v>46004</v>
      </c>
      <c r="B229" s="16"/>
      <c r="C229" s="18"/>
      <c r="D229" s="20"/>
      <c r="E229" s="22"/>
      <c r="F229" s="24"/>
      <c r="G229" s="26"/>
      <c r="H229" s="28"/>
      <c r="I229" s="12"/>
      <c r="J229" s="11"/>
    </row>
    <row r="230" spans="1:10" x14ac:dyDescent="0.35">
      <c r="A230" s="42">
        <f t="shared" si="4"/>
        <v>46005</v>
      </c>
      <c r="B230" s="16"/>
      <c r="C230" s="18"/>
      <c r="D230" s="20"/>
      <c r="E230" s="22"/>
      <c r="F230" s="24"/>
      <c r="G230" s="26"/>
      <c r="H230" s="28"/>
      <c r="I230" s="12"/>
      <c r="J230" s="11"/>
    </row>
    <row r="231" spans="1:10" x14ac:dyDescent="0.35">
      <c r="A231" s="42">
        <f t="shared" si="4"/>
        <v>46006</v>
      </c>
      <c r="B231" s="16"/>
      <c r="C231" s="18"/>
      <c r="D231" s="20"/>
      <c r="E231" s="22"/>
      <c r="F231" s="24"/>
      <c r="G231" s="26"/>
      <c r="H231" s="28"/>
      <c r="I231" s="12"/>
      <c r="J231" s="11"/>
    </row>
    <row r="232" spans="1:10" x14ac:dyDescent="0.35">
      <c r="A232" s="42">
        <f t="shared" si="4"/>
        <v>46007</v>
      </c>
      <c r="B232" s="16"/>
      <c r="C232" s="18"/>
      <c r="D232" s="20"/>
      <c r="E232" s="22"/>
      <c r="F232" s="24"/>
      <c r="G232" s="26"/>
      <c r="H232" s="28"/>
      <c r="I232" s="12"/>
      <c r="J232" s="11"/>
    </row>
    <row r="233" spans="1:10" x14ac:dyDescent="0.35">
      <c r="A233" s="42">
        <f t="shared" si="4"/>
        <v>46008</v>
      </c>
      <c r="B233" s="16"/>
      <c r="C233" s="18"/>
      <c r="D233" s="20"/>
      <c r="E233" s="22"/>
      <c r="F233" s="24"/>
      <c r="G233" s="26"/>
      <c r="H233" s="28"/>
      <c r="I233" s="12"/>
      <c r="J233" s="11"/>
    </row>
    <row r="234" spans="1:10" x14ac:dyDescent="0.35">
      <c r="A234" s="42">
        <f t="shared" si="4"/>
        <v>46009</v>
      </c>
      <c r="B234" s="16"/>
      <c r="C234" s="18"/>
      <c r="D234" s="20"/>
      <c r="E234" s="22"/>
      <c r="F234" s="24"/>
      <c r="G234" s="26"/>
      <c r="H234" s="28"/>
      <c r="I234" s="12"/>
      <c r="J234" s="11"/>
    </row>
    <row r="235" spans="1:10" x14ac:dyDescent="0.35">
      <c r="A235" s="42">
        <f t="shared" si="4"/>
        <v>46010</v>
      </c>
      <c r="B235" s="16"/>
      <c r="C235" s="18"/>
      <c r="D235" s="20"/>
      <c r="E235" s="22"/>
      <c r="F235" s="24"/>
      <c r="G235" s="26"/>
      <c r="H235" s="28"/>
      <c r="I235" s="12"/>
      <c r="J235" s="11"/>
    </row>
    <row r="236" spans="1:10" x14ac:dyDescent="0.35">
      <c r="A236" s="42">
        <f t="shared" si="4"/>
        <v>46011</v>
      </c>
      <c r="B236" s="16"/>
      <c r="C236" s="18"/>
      <c r="D236" s="20"/>
      <c r="E236" s="22"/>
      <c r="F236" s="24"/>
      <c r="G236" s="26"/>
      <c r="H236" s="28"/>
      <c r="I236" s="12"/>
      <c r="J236" s="11"/>
    </row>
    <row r="237" spans="1:10" x14ac:dyDescent="0.35">
      <c r="A237" s="42">
        <f t="shared" si="4"/>
        <v>46012</v>
      </c>
      <c r="B237" s="16"/>
      <c r="C237" s="18"/>
      <c r="D237" s="20"/>
      <c r="E237" s="22"/>
      <c r="F237" s="24"/>
      <c r="G237" s="26"/>
      <c r="H237" s="28"/>
      <c r="I237" s="12"/>
      <c r="J237" s="11"/>
    </row>
    <row r="238" spans="1:10" x14ac:dyDescent="0.35">
      <c r="A238" s="42">
        <f t="shared" si="4"/>
        <v>46013</v>
      </c>
      <c r="B238" s="16"/>
      <c r="C238" s="18"/>
      <c r="D238" s="20"/>
      <c r="E238" s="22"/>
      <c r="F238" s="24"/>
      <c r="G238" s="26"/>
      <c r="H238" s="28"/>
      <c r="I238" s="12"/>
      <c r="J238" s="11"/>
    </row>
    <row r="239" spans="1:10" x14ac:dyDescent="0.35">
      <c r="A239" s="42">
        <f t="shared" si="4"/>
        <v>46014</v>
      </c>
      <c r="B239" s="16"/>
      <c r="C239" s="18"/>
      <c r="D239" s="20"/>
      <c r="E239" s="22"/>
      <c r="F239" s="24"/>
      <c r="G239" s="26"/>
      <c r="H239" s="28"/>
      <c r="I239" s="12"/>
      <c r="J239" s="11"/>
    </row>
    <row r="240" spans="1:10" x14ac:dyDescent="0.35">
      <c r="A240" s="42">
        <f t="shared" si="4"/>
        <v>46015</v>
      </c>
      <c r="B240" s="16"/>
      <c r="C240" s="18"/>
      <c r="D240" s="20"/>
      <c r="E240" s="22"/>
      <c r="F240" s="24"/>
      <c r="G240" s="26"/>
      <c r="H240" s="28"/>
      <c r="I240" s="12"/>
      <c r="J240" s="11"/>
    </row>
    <row r="241" spans="1:10" x14ac:dyDescent="0.35">
      <c r="A241" s="42">
        <f t="shared" si="4"/>
        <v>46016</v>
      </c>
      <c r="B241" s="16"/>
      <c r="C241" s="18"/>
      <c r="D241" s="20"/>
      <c r="E241" s="22"/>
      <c r="F241" s="24"/>
      <c r="G241" s="26"/>
      <c r="H241" s="28"/>
      <c r="I241" s="12"/>
      <c r="J241" s="11"/>
    </row>
    <row r="242" spans="1:10" x14ac:dyDescent="0.35">
      <c r="A242" s="42">
        <f t="shared" si="4"/>
        <v>46017</v>
      </c>
      <c r="B242" s="16"/>
      <c r="C242" s="18"/>
      <c r="D242" s="20"/>
      <c r="E242" s="22"/>
      <c r="F242" s="24"/>
      <c r="G242" s="26"/>
      <c r="H242" s="28"/>
      <c r="I242" s="12"/>
      <c r="J242" s="11"/>
    </row>
    <row r="243" spans="1:10" x14ac:dyDescent="0.35">
      <c r="A243" s="42">
        <f t="shared" si="4"/>
        <v>46018</v>
      </c>
      <c r="B243" s="16"/>
      <c r="C243" s="18"/>
      <c r="D243" s="20"/>
      <c r="E243" s="22"/>
      <c r="F243" s="24"/>
      <c r="G243" s="26"/>
      <c r="H243" s="28"/>
      <c r="I243" s="12"/>
      <c r="J243" s="11"/>
    </row>
    <row r="244" spans="1:10" x14ac:dyDescent="0.35">
      <c r="A244" s="42">
        <f t="shared" si="4"/>
        <v>46019</v>
      </c>
      <c r="B244" s="16"/>
      <c r="C244" s="18"/>
      <c r="D244" s="20"/>
      <c r="E244" s="22"/>
      <c r="F244" s="24"/>
      <c r="G244" s="26"/>
      <c r="H244" s="28"/>
      <c r="I244" s="12"/>
      <c r="J244" s="11"/>
    </row>
    <row r="245" spans="1:10" x14ac:dyDescent="0.35">
      <c r="A245" s="42">
        <f t="shared" si="4"/>
        <v>46020</v>
      </c>
      <c r="B245" s="16"/>
      <c r="C245" s="18"/>
      <c r="D245" s="20"/>
      <c r="E245" s="22"/>
      <c r="F245" s="24"/>
      <c r="G245" s="26"/>
      <c r="H245" s="28"/>
      <c r="I245" s="12"/>
      <c r="J245" s="11"/>
    </row>
    <row r="246" spans="1:10" x14ac:dyDescent="0.35">
      <c r="A246" s="42">
        <f t="shared" si="4"/>
        <v>46021</v>
      </c>
      <c r="B246" s="16"/>
      <c r="C246" s="18"/>
      <c r="D246" s="20"/>
      <c r="E246" s="22"/>
      <c r="F246" s="24"/>
      <c r="G246" s="26"/>
      <c r="H246" s="28"/>
      <c r="I246" s="12"/>
      <c r="J246" s="11"/>
    </row>
    <row r="247" spans="1:10" x14ac:dyDescent="0.35">
      <c r="A247" s="42">
        <f t="shared" si="4"/>
        <v>46022</v>
      </c>
      <c r="B247" s="16"/>
      <c r="C247" s="18"/>
      <c r="D247" s="20"/>
      <c r="E247" s="22"/>
      <c r="F247" s="24"/>
      <c r="G247" s="26"/>
      <c r="H247" s="28"/>
      <c r="I247" s="12"/>
      <c r="J247" s="11"/>
    </row>
  </sheetData>
  <autoFilter ref="A2:J32">
    <sortState ref="A3:J32">
      <sortCondition ref="A3:A32"/>
    </sortState>
  </autoFilter>
  <mergeCells count="1">
    <mergeCell ref="A1:J1"/>
  </mergeCells>
  <conditionalFormatting sqref="D10 D2:I2 D12:I12 G13:I13 D17:I247 J2:J247 D3:D4 F3:I4 D7:D8 F7:I8 H9:I9 F10:I10">
    <cfRule type="timePeriod" dxfId="110" priority="24" timePeriod="thisMonth">
      <formula>AND(MONTH(D2)=MONTH(TODAY()),YEAR(D2)=YEAR(TODAY()))</formula>
    </cfRule>
  </conditionalFormatting>
  <conditionalFormatting sqref="D11:I11 D14:I14 G15:I17">
    <cfRule type="timePeriod" dxfId="109" priority="23" timePeriod="thisMonth">
      <formula>AND(MONTH(D11)=MONTH(TODAY()),YEAR(D11)=YEAR(TODAY()))</formula>
    </cfRule>
  </conditionalFormatting>
  <conditionalFormatting sqref="D13:F13">
    <cfRule type="timePeriod" dxfId="108" priority="22" timePeriod="thisMonth">
      <formula>AND(MONTH(D13)=MONTH(TODAY()),YEAR(D13)=YEAR(TODAY()))</formula>
    </cfRule>
  </conditionalFormatting>
  <conditionalFormatting sqref="D14:F18">
    <cfRule type="timePeriod" dxfId="107" priority="21" timePeriod="thisMonth">
      <formula>AND(MONTH(D14)=MONTH(TODAY()),YEAR(D14)=YEAR(TODAY()))</formula>
    </cfRule>
  </conditionalFormatting>
  <conditionalFormatting sqref="D5:I6">
    <cfRule type="timePeriod" dxfId="106" priority="14" timePeriod="thisMonth">
      <formula>AND(MONTH(D5)=MONTH(TODAY()),YEAR(D5)=YEAR(TODAY()))</formula>
    </cfRule>
  </conditionalFormatting>
  <conditionalFormatting sqref="D15:F15">
    <cfRule type="timePeriod" dxfId="105" priority="13" timePeriod="thisMonth">
      <formula>AND(MONTH(D15)=MONTH(TODAY()),YEAR(D15)=YEAR(TODAY()))</formula>
    </cfRule>
  </conditionalFormatting>
  <conditionalFormatting sqref="A5:A6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{0ECCED44-1FE8-4672-8569-6F835632521E}</x14:id>
        </ext>
      </extLst>
    </cfRule>
  </conditionalFormatting>
  <conditionalFormatting sqref="A12:A13"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{813E36C5-78AD-4393-813F-2B543DA199D2}</x14:id>
        </ext>
      </extLst>
    </cfRule>
  </conditionalFormatting>
  <conditionalFormatting sqref="A19:A20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{81086959-EF07-4796-BE5D-9A7E688930A5}</x14:id>
        </ext>
      </extLst>
    </cfRule>
  </conditionalFormatting>
  <conditionalFormatting sqref="A26:A27">
    <cfRule type="dataBar" priority="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{33315E65-8B4B-46AF-96C4-CFB1447F5963}</x14:id>
        </ext>
      </extLst>
    </cfRule>
  </conditionalFormatting>
  <conditionalFormatting sqref="G3:G8 G10:G247">
    <cfRule type="containsText" dxfId="104" priority="8" operator="containsText" text="Archived">
      <formula>NOT(ISERROR(SEARCH("Archived",G3)))</formula>
    </cfRule>
    <cfRule type="containsText" dxfId="103" priority="9" operator="containsText" text="Approved">
      <formula>NOT(ISERROR(SEARCH("Approved",G3)))</formula>
    </cfRule>
    <cfRule type="containsText" dxfId="102" priority="10" operator="containsText" text="Pending">
      <formula>NOT(ISERROR(SEARCH("Pending",G3)))</formula>
    </cfRule>
    <cfRule type="containsText" dxfId="101" priority="11" operator="containsText" text="Review">
      <formula>NOT(ISERROR(SEARCH("Review",G3)))</formula>
    </cfRule>
    <cfRule type="containsText" dxfId="100" priority="12" operator="containsText" text="Draft">
      <formula>NOT(ISERROR(SEARCH("Draft",G3)))</formula>
    </cfRule>
  </conditionalFormatting>
  <conditionalFormatting sqref="D9 F9:G9">
    <cfRule type="timePeriod" dxfId="99" priority="7" timePeriod="thisMonth">
      <formula>AND(MONTH(D9)=MONTH(TODAY()),YEAR(D9)=YEAR(TODAY()))</formula>
    </cfRule>
  </conditionalFormatting>
  <conditionalFormatting sqref="G9">
    <cfRule type="containsText" dxfId="98" priority="2" operator="containsText" text="Archived">
      <formula>NOT(ISERROR(SEARCH("Archived",G9)))</formula>
    </cfRule>
    <cfRule type="containsText" dxfId="97" priority="3" operator="containsText" text="Approved">
      <formula>NOT(ISERROR(SEARCH("Approved",G9)))</formula>
    </cfRule>
    <cfRule type="containsText" dxfId="96" priority="4" operator="containsText" text="Pending">
      <formula>NOT(ISERROR(SEARCH("Pending",G9)))</formula>
    </cfRule>
    <cfRule type="containsText" dxfId="95" priority="5" operator="containsText" text="Review">
      <formula>NOT(ISERROR(SEARCH("Review",G9)))</formula>
    </cfRule>
    <cfRule type="containsText" dxfId="94" priority="6" operator="containsText" text="Draft">
      <formula>NOT(ISERROR(SEARCH("Draft",G9)))</formula>
    </cfRule>
  </conditionalFormatting>
  <conditionalFormatting sqref="G3:G247">
    <cfRule type="containsText" dxfId="93" priority="1" operator="containsText" text="Pending">
      <formula>NOT(ISERROR(SEARCH("Pending",G3)))</formula>
    </cfRule>
  </conditionalFormatting>
  <pageMargins left="0.7" right="0.7" top="0.75" bottom="0.75" header="0.3" footer="0.3"/>
  <pageSetup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CCED44-1FE8-4672-8569-6F83563252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A5:A6</xm:sqref>
        </x14:conditionalFormatting>
        <x14:conditionalFormatting xmlns:xm="http://schemas.microsoft.com/office/excel/2006/main">
          <x14:cfRule type="dataBar" id="{813E36C5-78AD-4393-813F-2B543DA199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A12:A13</xm:sqref>
        </x14:conditionalFormatting>
        <x14:conditionalFormatting xmlns:xm="http://schemas.microsoft.com/office/excel/2006/main">
          <x14:cfRule type="dataBar" id="{81086959-EF07-4796-BE5D-9A7E688930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A19:A20</xm:sqref>
        </x14:conditionalFormatting>
        <x14:conditionalFormatting xmlns:xm="http://schemas.microsoft.com/office/excel/2006/main">
          <x14:cfRule type="dataBar" id="{33315E65-8B4B-46AF-96C4-CFB1447F59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A26:A27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247"/>
  <sheetViews>
    <sheetView view="pageBreakPreview" zoomScale="64" zoomScaleNormal="40" zoomScaleSheetLayoutView="64" workbookViewId="0">
      <selection activeCell="G3" sqref="G3"/>
    </sheetView>
  </sheetViews>
  <sheetFormatPr defaultColWidth="9" defaultRowHeight="20.5" x14ac:dyDescent="0.35"/>
  <cols>
    <col min="1" max="1" width="7.26953125" style="7" customWidth="1"/>
    <col min="2" max="2" width="41.453125" style="7" customWidth="1"/>
    <col min="3" max="3" width="18.36328125" style="7" customWidth="1"/>
    <col min="4" max="4" width="12.26953125" style="7" customWidth="1"/>
    <col min="5" max="5" width="18.6328125" style="7" customWidth="1"/>
    <col min="6" max="6" width="41.08984375" style="7" customWidth="1"/>
    <col min="7" max="7" width="42" style="7" customWidth="1"/>
    <col min="8" max="8" width="34.90625" style="7" customWidth="1"/>
    <col min="9" max="9" width="40.453125" style="7" customWidth="1"/>
    <col min="10" max="16384" width="9" style="7"/>
  </cols>
  <sheetData>
    <row r="1" spans="1:9" ht="48.75" customHeight="1" thickBot="1" x14ac:dyDescent="0.4">
      <c r="A1" s="98" t="s">
        <v>117</v>
      </c>
      <c r="B1" s="98"/>
      <c r="C1" s="98"/>
      <c r="D1" s="98"/>
      <c r="E1" s="98"/>
      <c r="F1" s="98"/>
      <c r="G1" s="98"/>
      <c r="H1" s="98"/>
      <c r="I1" s="98"/>
    </row>
    <row r="2" spans="1:9" ht="93.75" customHeight="1" thickTop="1" thickBot="1" x14ac:dyDescent="0.4">
      <c r="A2" s="93" t="s">
        <v>50</v>
      </c>
      <c r="B2" s="93" t="s">
        <v>53</v>
      </c>
      <c r="C2" s="93" t="s">
        <v>48</v>
      </c>
      <c r="D2" s="93" t="s">
        <v>44</v>
      </c>
      <c r="E2" s="93" t="s">
        <v>47</v>
      </c>
      <c r="F2" s="93" t="s">
        <v>49</v>
      </c>
      <c r="G2" s="93" t="s">
        <v>46</v>
      </c>
      <c r="H2" s="93" t="s">
        <v>67</v>
      </c>
      <c r="I2" s="93" t="s">
        <v>76</v>
      </c>
    </row>
    <row r="3" spans="1:9" ht="62" thickTop="1" x14ac:dyDescent="0.35">
      <c r="A3" s="48">
        <v>1</v>
      </c>
      <c r="B3" s="57" t="s">
        <v>80</v>
      </c>
      <c r="C3" s="49">
        <f>DATE(2025, 5, 1)</f>
        <v>45778</v>
      </c>
      <c r="D3" s="44">
        <f>TIME(12, 1, 0)</f>
        <v>0.50069444444444444</v>
      </c>
      <c r="E3" s="45" t="s">
        <v>85</v>
      </c>
      <c r="F3" s="60" t="s">
        <v>81</v>
      </c>
      <c r="G3" s="61" t="s">
        <v>82</v>
      </c>
      <c r="H3" s="49" t="s">
        <v>68</v>
      </c>
      <c r="I3" s="29"/>
    </row>
    <row r="4" spans="1:9" ht="61.5" x14ac:dyDescent="0.35">
      <c r="A4" s="48">
        <v>2</v>
      </c>
      <c r="B4" s="58" t="s">
        <v>83</v>
      </c>
      <c r="C4" s="50">
        <f>C3+1</f>
        <v>45779</v>
      </c>
      <c r="D4" s="44">
        <f>TIME(12, 1, 0)</f>
        <v>0.50069444444444444</v>
      </c>
      <c r="E4" s="46" t="s">
        <v>84</v>
      </c>
      <c r="F4" s="62" t="s">
        <v>87</v>
      </c>
      <c r="G4" s="63" t="s">
        <v>82</v>
      </c>
      <c r="H4" s="50" t="s">
        <v>64</v>
      </c>
      <c r="I4" s="8" t="s">
        <v>91</v>
      </c>
    </row>
    <row r="5" spans="1:9" x14ac:dyDescent="0.35">
      <c r="A5" s="48">
        <v>3</v>
      </c>
      <c r="B5" s="58"/>
      <c r="C5" s="50">
        <f>C4+1</f>
        <v>45780</v>
      </c>
      <c r="D5" s="44"/>
      <c r="E5" s="46"/>
      <c r="F5" s="62"/>
      <c r="G5" s="63"/>
      <c r="H5" s="50"/>
      <c r="I5" s="8"/>
    </row>
    <row r="6" spans="1:9" x14ac:dyDescent="0.35">
      <c r="A6" s="48">
        <v>4</v>
      </c>
      <c r="B6" s="58"/>
      <c r="C6" s="50">
        <f>C5+1</f>
        <v>45781</v>
      </c>
      <c r="D6" s="44"/>
      <c r="E6" s="46"/>
      <c r="F6" s="62"/>
      <c r="G6" s="63"/>
      <c r="H6" s="50"/>
      <c r="I6" s="8"/>
    </row>
    <row r="7" spans="1:9" x14ac:dyDescent="0.35">
      <c r="A7" s="48">
        <v>5</v>
      </c>
      <c r="B7" s="58" t="s">
        <v>88</v>
      </c>
      <c r="C7" s="50">
        <f>C6+1</f>
        <v>45782</v>
      </c>
      <c r="D7" s="44">
        <f t="shared" ref="D7:D68" si="0">TIME(12, 1, 0)</f>
        <v>0.50069444444444444</v>
      </c>
      <c r="E7" s="46" t="s">
        <v>86</v>
      </c>
      <c r="F7" s="62" t="s">
        <v>89</v>
      </c>
      <c r="G7" s="63" t="s">
        <v>90</v>
      </c>
      <c r="H7" s="50" t="s">
        <v>78</v>
      </c>
      <c r="I7" s="8"/>
    </row>
    <row r="8" spans="1:9" ht="61.5" x14ac:dyDescent="0.35">
      <c r="A8" s="48">
        <v>6</v>
      </c>
      <c r="B8" s="58" t="s">
        <v>92</v>
      </c>
      <c r="C8" s="50">
        <f t="shared" ref="C8:C32" si="1">C7+1</f>
        <v>45783</v>
      </c>
      <c r="D8" s="44">
        <f t="shared" si="0"/>
        <v>0.50069444444444444</v>
      </c>
      <c r="E8" s="46" t="s">
        <v>93</v>
      </c>
      <c r="F8" s="62" t="s">
        <v>94</v>
      </c>
      <c r="G8" s="63" t="s">
        <v>82</v>
      </c>
      <c r="H8" s="50" t="s">
        <v>79</v>
      </c>
      <c r="I8" s="8"/>
    </row>
    <row r="9" spans="1:9" ht="61.5" x14ac:dyDescent="0.35">
      <c r="A9" s="48">
        <v>7</v>
      </c>
      <c r="B9" s="57" t="s">
        <v>80</v>
      </c>
      <c r="C9" s="50">
        <f t="shared" si="1"/>
        <v>45784</v>
      </c>
      <c r="D9" s="44">
        <f t="shared" si="0"/>
        <v>0.50069444444444444</v>
      </c>
      <c r="E9" s="45" t="s">
        <v>85</v>
      </c>
      <c r="F9" s="60" t="s">
        <v>81</v>
      </c>
      <c r="G9" s="61" t="s">
        <v>82</v>
      </c>
      <c r="H9" s="50" t="s">
        <v>64</v>
      </c>
      <c r="I9" s="8"/>
    </row>
    <row r="10" spans="1:9" x14ac:dyDescent="0.35">
      <c r="A10" s="48">
        <v>8</v>
      </c>
      <c r="B10" s="58"/>
      <c r="C10" s="50">
        <f t="shared" si="1"/>
        <v>45785</v>
      </c>
      <c r="D10" s="44">
        <f t="shared" si="0"/>
        <v>0.50069444444444444</v>
      </c>
      <c r="E10" s="46"/>
      <c r="F10" s="62"/>
      <c r="G10" s="63"/>
      <c r="H10" s="50"/>
      <c r="I10" s="8"/>
    </row>
    <row r="11" spans="1:9" x14ac:dyDescent="0.35">
      <c r="A11" s="48">
        <v>9</v>
      </c>
      <c r="B11" s="58"/>
      <c r="C11" s="50">
        <f t="shared" si="1"/>
        <v>45786</v>
      </c>
      <c r="D11" s="44">
        <f t="shared" si="0"/>
        <v>0.50069444444444444</v>
      </c>
      <c r="E11" s="46"/>
      <c r="F11" s="62"/>
      <c r="G11" s="63"/>
      <c r="H11" s="50"/>
      <c r="I11" s="8"/>
    </row>
    <row r="12" spans="1:9" x14ac:dyDescent="0.35">
      <c r="A12" s="48">
        <v>10</v>
      </c>
      <c r="B12" s="58"/>
      <c r="C12" s="50">
        <f t="shared" si="1"/>
        <v>45787</v>
      </c>
      <c r="D12" s="44">
        <f t="shared" si="0"/>
        <v>0.50069444444444444</v>
      </c>
      <c r="E12" s="46"/>
      <c r="F12" s="62"/>
      <c r="G12" s="63"/>
      <c r="H12" s="50"/>
      <c r="I12" s="8"/>
    </row>
    <row r="13" spans="1:9" x14ac:dyDescent="0.35">
      <c r="A13" s="48">
        <v>11</v>
      </c>
      <c r="B13" s="58"/>
      <c r="C13" s="50">
        <f t="shared" si="1"/>
        <v>45788</v>
      </c>
      <c r="D13" s="44">
        <f t="shared" si="0"/>
        <v>0.50069444444444444</v>
      </c>
      <c r="E13" s="46"/>
      <c r="F13" s="62"/>
      <c r="G13" s="63"/>
      <c r="H13" s="50"/>
      <c r="I13" s="8"/>
    </row>
    <row r="14" spans="1:9" x14ac:dyDescent="0.35">
      <c r="A14" s="48">
        <v>12</v>
      </c>
      <c r="B14" s="58"/>
      <c r="C14" s="50">
        <f t="shared" si="1"/>
        <v>45789</v>
      </c>
      <c r="D14" s="44">
        <f t="shared" si="0"/>
        <v>0.50069444444444444</v>
      </c>
      <c r="E14" s="46"/>
      <c r="F14" s="62"/>
      <c r="G14" s="63"/>
      <c r="H14" s="50"/>
      <c r="I14" s="8"/>
    </row>
    <row r="15" spans="1:9" x14ac:dyDescent="0.35">
      <c r="A15" s="48">
        <v>13</v>
      </c>
      <c r="B15" s="58"/>
      <c r="C15" s="50">
        <f t="shared" si="1"/>
        <v>45790</v>
      </c>
      <c r="D15" s="44">
        <f t="shared" si="0"/>
        <v>0.50069444444444444</v>
      </c>
      <c r="E15" s="46"/>
      <c r="F15" s="62"/>
      <c r="G15" s="63"/>
      <c r="H15" s="50"/>
      <c r="I15" s="8"/>
    </row>
    <row r="16" spans="1:9" x14ac:dyDescent="0.35">
      <c r="A16" s="48">
        <v>14</v>
      </c>
      <c r="B16" s="58"/>
      <c r="C16" s="50">
        <f t="shared" si="1"/>
        <v>45791</v>
      </c>
      <c r="D16" s="44">
        <f t="shared" si="0"/>
        <v>0.50069444444444444</v>
      </c>
      <c r="E16" s="46"/>
      <c r="F16" s="62"/>
      <c r="G16" s="63"/>
      <c r="H16" s="50"/>
      <c r="I16" s="8"/>
    </row>
    <row r="17" spans="1:9" x14ac:dyDescent="0.35">
      <c r="A17" s="48">
        <v>15</v>
      </c>
      <c r="B17" s="58"/>
      <c r="C17" s="50">
        <f t="shared" si="1"/>
        <v>45792</v>
      </c>
      <c r="D17" s="44">
        <f t="shared" si="0"/>
        <v>0.50069444444444444</v>
      </c>
      <c r="E17" s="46"/>
      <c r="F17" s="62"/>
      <c r="G17" s="63"/>
      <c r="H17" s="50"/>
      <c r="I17" s="8"/>
    </row>
    <row r="18" spans="1:9" x14ac:dyDescent="0.35">
      <c r="A18" s="48">
        <v>16</v>
      </c>
      <c r="B18" s="58"/>
      <c r="C18" s="50">
        <f t="shared" si="1"/>
        <v>45793</v>
      </c>
      <c r="D18" s="44">
        <f t="shared" si="0"/>
        <v>0.50069444444444444</v>
      </c>
      <c r="E18" s="46"/>
      <c r="F18" s="62"/>
      <c r="G18" s="63"/>
      <c r="H18" s="50"/>
      <c r="I18" s="8"/>
    </row>
    <row r="19" spans="1:9" x14ac:dyDescent="0.35">
      <c r="A19" s="48">
        <v>17</v>
      </c>
      <c r="B19" s="59"/>
      <c r="C19" s="50">
        <f t="shared" si="1"/>
        <v>45794</v>
      </c>
      <c r="D19" s="44">
        <f t="shared" si="0"/>
        <v>0.50069444444444444</v>
      </c>
      <c r="E19" s="47"/>
      <c r="F19" s="64"/>
      <c r="G19" s="65"/>
      <c r="H19" s="12"/>
      <c r="I19" s="11"/>
    </row>
    <row r="20" spans="1:9" x14ac:dyDescent="0.35">
      <c r="A20" s="48">
        <v>18</v>
      </c>
      <c r="B20" s="59"/>
      <c r="C20" s="50">
        <f t="shared" si="1"/>
        <v>45795</v>
      </c>
      <c r="D20" s="44">
        <f t="shared" si="0"/>
        <v>0.50069444444444444</v>
      </c>
      <c r="E20" s="47"/>
      <c r="F20" s="64"/>
      <c r="G20" s="65"/>
      <c r="H20" s="12"/>
      <c r="I20" s="11"/>
    </row>
    <row r="21" spans="1:9" x14ac:dyDescent="0.35">
      <c r="A21" s="48">
        <v>19</v>
      </c>
      <c r="B21" s="59"/>
      <c r="C21" s="50">
        <f t="shared" si="1"/>
        <v>45796</v>
      </c>
      <c r="D21" s="44">
        <f t="shared" si="0"/>
        <v>0.50069444444444444</v>
      </c>
      <c r="E21" s="47"/>
      <c r="F21" s="64"/>
      <c r="G21" s="65"/>
      <c r="H21" s="12"/>
      <c r="I21" s="11"/>
    </row>
    <row r="22" spans="1:9" x14ac:dyDescent="0.35">
      <c r="A22" s="48">
        <v>20</v>
      </c>
      <c r="B22" s="59"/>
      <c r="C22" s="50">
        <f t="shared" si="1"/>
        <v>45797</v>
      </c>
      <c r="D22" s="44">
        <f t="shared" si="0"/>
        <v>0.50069444444444444</v>
      </c>
      <c r="E22" s="47"/>
      <c r="F22" s="64"/>
      <c r="G22" s="65"/>
      <c r="H22" s="12"/>
      <c r="I22" s="11"/>
    </row>
    <row r="23" spans="1:9" x14ac:dyDescent="0.35">
      <c r="A23" s="48">
        <v>21</v>
      </c>
      <c r="B23" s="59"/>
      <c r="C23" s="50">
        <f t="shared" si="1"/>
        <v>45798</v>
      </c>
      <c r="D23" s="44">
        <f t="shared" si="0"/>
        <v>0.50069444444444444</v>
      </c>
      <c r="E23" s="47"/>
      <c r="F23" s="64"/>
      <c r="G23" s="65"/>
      <c r="H23" s="12"/>
      <c r="I23" s="11"/>
    </row>
    <row r="24" spans="1:9" x14ac:dyDescent="0.35">
      <c r="A24" s="48">
        <v>22</v>
      </c>
      <c r="B24" s="59"/>
      <c r="C24" s="50">
        <f t="shared" si="1"/>
        <v>45799</v>
      </c>
      <c r="D24" s="44">
        <f t="shared" si="0"/>
        <v>0.50069444444444444</v>
      </c>
      <c r="E24" s="47"/>
      <c r="F24" s="64"/>
      <c r="G24" s="65"/>
      <c r="H24" s="12"/>
      <c r="I24" s="11"/>
    </row>
    <row r="25" spans="1:9" x14ac:dyDescent="0.35">
      <c r="A25" s="48">
        <v>23</v>
      </c>
      <c r="B25" s="59"/>
      <c r="C25" s="50">
        <f t="shared" si="1"/>
        <v>45800</v>
      </c>
      <c r="D25" s="44">
        <f t="shared" si="0"/>
        <v>0.50069444444444444</v>
      </c>
      <c r="E25" s="47"/>
      <c r="F25" s="64"/>
      <c r="G25" s="65"/>
      <c r="H25" s="12"/>
      <c r="I25" s="11"/>
    </row>
    <row r="26" spans="1:9" x14ac:dyDescent="0.35">
      <c r="A26" s="48">
        <v>24</v>
      </c>
      <c r="B26" s="59"/>
      <c r="C26" s="50">
        <f t="shared" si="1"/>
        <v>45801</v>
      </c>
      <c r="D26" s="44">
        <f t="shared" si="0"/>
        <v>0.50069444444444444</v>
      </c>
      <c r="E26" s="47"/>
      <c r="F26" s="64"/>
      <c r="G26" s="65"/>
      <c r="H26" s="12"/>
      <c r="I26" s="11"/>
    </row>
    <row r="27" spans="1:9" x14ac:dyDescent="0.35">
      <c r="A27" s="48">
        <v>25</v>
      </c>
      <c r="B27" s="59"/>
      <c r="C27" s="50">
        <f t="shared" si="1"/>
        <v>45802</v>
      </c>
      <c r="D27" s="44">
        <f t="shared" si="0"/>
        <v>0.50069444444444444</v>
      </c>
      <c r="E27" s="47"/>
      <c r="F27" s="64"/>
      <c r="G27" s="65"/>
      <c r="H27" s="12"/>
      <c r="I27" s="11"/>
    </row>
    <row r="28" spans="1:9" x14ac:dyDescent="0.35">
      <c r="A28" s="48">
        <v>26</v>
      </c>
      <c r="B28" s="59"/>
      <c r="C28" s="50">
        <f t="shared" si="1"/>
        <v>45803</v>
      </c>
      <c r="D28" s="44">
        <f t="shared" si="0"/>
        <v>0.50069444444444444</v>
      </c>
      <c r="E28" s="47"/>
      <c r="F28" s="64"/>
      <c r="G28" s="65"/>
      <c r="H28" s="12"/>
      <c r="I28" s="11"/>
    </row>
    <row r="29" spans="1:9" x14ac:dyDescent="0.35">
      <c r="A29" s="48">
        <v>27</v>
      </c>
      <c r="B29" s="59"/>
      <c r="C29" s="50">
        <f t="shared" si="1"/>
        <v>45804</v>
      </c>
      <c r="D29" s="44">
        <f t="shared" si="0"/>
        <v>0.50069444444444444</v>
      </c>
      <c r="E29" s="47"/>
      <c r="F29" s="64"/>
      <c r="G29" s="65"/>
      <c r="H29" s="12"/>
      <c r="I29" s="11"/>
    </row>
    <row r="30" spans="1:9" x14ac:dyDescent="0.35">
      <c r="A30" s="48">
        <v>28</v>
      </c>
      <c r="B30" s="59"/>
      <c r="C30" s="50">
        <f t="shared" si="1"/>
        <v>45805</v>
      </c>
      <c r="D30" s="44">
        <f t="shared" si="0"/>
        <v>0.50069444444444444</v>
      </c>
      <c r="E30" s="47"/>
      <c r="F30" s="64"/>
      <c r="G30" s="65"/>
      <c r="H30" s="12"/>
      <c r="I30" s="11"/>
    </row>
    <row r="31" spans="1:9" x14ac:dyDescent="0.35">
      <c r="A31" s="48">
        <v>29</v>
      </c>
      <c r="B31" s="59"/>
      <c r="C31" s="50">
        <f t="shared" si="1"/>
        <v>45806</v>
      </c>
      <c r="D31" s="44">
        <f t="shared" si="0"/>
        <v>0.50069444444444444</v>
      </c>
      <c r="E31" s="47"/>
      <c r="F31" s="64"/>
      <c r="G31" s="65"/>
      <c r="H31" s="12"/>
      <c r="I31" s="11"/>
    </row>
    <row r="32" spans="1:9" x14ac:dyDescent="0.35">
      <c r="A32" s="48">
        <v>30</v>
      </c>
      <c r="B32" s="59"/>
      <c r="C32" s="50">
        <f t="shared" si="1"/>
        <v>45807</v>
      </c>
      <c r="D32" s="44">
        <f t="shared" si="0"/>
        <v>0.50069444444444444</v>
      </c>
      <c r="E32" s="47"/>
      <c r="F32" s="64"/>
      <c r="G32" s="65"/>
      <c r="H32" s="12"/>
      <c r="I32" s="11"/>
    </row>
    <row r="33" spans="1:9" x14ac:dyDescent="0.35">
      <c r="A33" s="48">
        <v>31</v>
      </c>
      <c r="B33" s="59"/>
      <c r="C33" s="50">
        <f>C32+1</f>
        <v>45808</v>
      </c>
      <c r="D33" s="44">
        <f t="shared" si="0"/>
        <v>0.50069444444444444</v>
      </c>
      <c r="E33" s="47"/>
      <c r="F33" s="64"/>
      <c r="G33" s="65"/>
      <c r="H33" s="12"/>
      <c r="I33" s="11"/>
    </row>
    <row r="34" spans="1:9" x14ac:dyDescent="0.35">
      <c r="A34" s="48">
        <v>32</v>
      </c>
      <c r="B34" s="59"/>
      <c r="C34" s="50">
        <f t="shared" ref="C34:C97" si="2">C33+1</f>
        <v>45809</v>
      </c>
      <c r="D34" s="44">
        <f t="shared" si="0"/>
        <v>0.50069444444444444</v>
      </c>
      <c r="E34" s="47"/>
      <c r="F34" s="64"/>
      <c r="G34" s="65"/>
      <c r="H34" s="12"/>
      <c r="I34" s="11"/>
    </row>
    <row r="35" spans="1:9" x14ac:dyDescent="0.35">
      <c r="A35" s="48">
        <v>33</v>
      </c>
      <c r="B35" s="59"/>
      <c r="C35" s="50">
        <f t="shared" si="2"/>
        <v>45810</v>
      </c>
      <c r="D35" s="44">
        <f t="shared" si="0"/>
        <v>0.50069444444444444</v>
      </c>
      <c r="E35" s="47"/>
      <c r="F35" s="64"/>
      <c r="G35" s="65"/>
      <c r="H35" s="12"/>
      <c r="I35" s="11"/>
    </row>
    <row r="36" spans="1:9" x14ac:dyDescent="0.35">
      <c r="A36" s="48">
        <v>34</v>
      </c>
      <c r="B36" s="59"/>
      <c r="C36" s="50">
        <f t="shared" si="2"/>
        <v>45811</v>
      </c>
      <c r="D36" s="44">
        <f t="shared" si="0"/>
        <v>0.50069444444444444</v>
      </c>
      <c r="E36" s="47"/>
      <c r="F36" s="64"/>
      <c r="G36" s="65"/>
      <c r="H36" s="12"/>
      <c r="I36" s="11"/>
    </row>
    <row r="37" spans="1:9" x14ac:dyDescent="0.35">
      <c r="A37" s="48">
        <v>35</v>
      </c>
      <c r="B37" s="59"/>
      <c r="C37" s="50">
        <f t="shared" si="2"/>
        <v>45812</v>
      </c>
      <c r="D37" s="44">
        <f t="shared" si="0"/>
        <v>0.50069444444444444</v>
      </c>
      <c r="E37" s="47"/>
      <c r="F37" s="64"/>
      <c r="G37" s="65"/>
      <c r="H37" s="12"/>
      <c r="I37" s="11"/>
    </row>
    <row r="38" spans="1:9" x14ac:dyDescent="0.35">
      <c r="A38" s="48">
        <v>36</v>
      </c>
      <c r="B38" s="59"/>
      <c r="C38" s="50">
        <f t="shared" si="2"/>
        <v>45813</v>
      </c>
      <c r="D38" s="44">
        <f t="shared" si="0"/>
        <v>0.50069444444444444</v>
      </c>
      <c r="E38" s="47"/>
      <c r="F38" s="64"/>
      <c r="G38" s="65"/>
      <c r="H38" s="12"/>
      <c r="I38" s="11"/>
    </row>
    <row r="39" spans="1:9" x14ac:dyDescent="0.35">
      <c r="A39" s="48">
        <v>37</v>
      </c>
      <c r="B39" s="59"/>
      <c r="C39" s="50">
        <f t="shared" si="2"/>
        <v>45814</v>
      </c>
      <c r="D39" s="44">
        <f t="shared" si="0"/>
        <v>0.50069444444444444</v>
      </c>
      <c r="E39" s="47"/>
      <c r="F39" s="64"/>
      <c r="G39" s="65"/>
      <c r="H39" s="12"/>
      <c r="I39" s="11"/>
    </row>
    <row r="40" spans="1:9" x14ac:dyDescent="0.35">
      <c r="A40" s="48">
        <v>38</v>
      </c>
      <c r="B40" s="59"/>
      <c r="C40" s="50">
        <f t="shared" si="2"/>
        <v>45815</v>
      </c>
      <c r="D40" s="44">
        <f t="shared" si="0"/>
        <v>0.50069444444444444</v>
      </c>
      <c r="E40" s="47"/>
      <c r="F40" s="64"/>
      <c r="G40" s="65"/>
      <c r="H40" s="12"/>
      <c r="I40" s="11"/>
    </row>
    <row r="41" spans="1:9" x14ac:dyDescent="0.35">
      <c r="A41" s="48">
        <v>39</v>
      </c>
      <c r="B41" s="59"/>
      <c r="C41" s="50">
        <f t="shared" si="2"/>
        <v>45816</v>
      </c>
      <c r="D41" s="44">
        <f t="shared" si="0"/>
        <v>0.50069444444444444</v>
      </c>
      <c r="E41" s="47"/>
      <c r="F41" s="64"/>
      <c r="G41" s="65"/>
      <c r="H41" s="12"/>
      <c r="I41" s="11"/>
    </row>
    <row r="42" spans="1:9" x14ac:dyDescent="0.35">
      <c r="A42" s="48">
        <v>40</v>
      </c>
      <c r="B42" s="59"/>
      <c r="C42" s="50">
        <f t="shared" si="2"/>
        <v>45817</v>
      </c>
      <c r="D42" s="44">
        <f t="shared" si="0"/>
        <v>0.50069444444444444</v>
      </c>
      <c r="E42" s="47"/>
      <c r="F42" s="64"/>
      <c r="G42" s="65"/>
      <c r="H42" s="12"/>
      <c r="I42" s="11"/>
    </row>
    <row r="43" spans="1:9" x14ac:dyDescent="0.35">
      <c r="A43" s="48">
        <v>41</v>
      </c>
      <c r="B43" s="59"/>
      <c r="C43" s="50">
        <f t="shared" si="2"/>
        <v>45818</v>
      </c>
      <c r="D43" s="44">
        <f t="shared" si="0"/>
        <v>0.50069444444444444</v>
      </c>
      <c r="E43" s="47"/>
      <c r="F43" s="64"/>
      <c r="G43" s="65"/>
      <c r="H43" s="12"/>
      <c r="I43" s="11"/>
    </row>
    <row r="44" spans="1:9" x14ac:dyDescent="0.35">
      <c r="A44" s="48">
        <v>42</v>
      </c>
      <c r="B44" s="59"/>
      <c r="C44" s="50">
        <f t="shared" si="2"/>
        <v>45819</v>
      </c>
      <c r="D44" s="44">
        <f t="shared" si="0"/>
        <v>0.50069444444444444</v>
      </c>
      <c r="E44" s="47"/>
      <c r="F44" s="64"/>
      <c r="G44" s="65"/>
      <c r="H44" s="12"/>
      <c r="I44" s="11"/>
    </row>
    <row r="45" spans="1:9" x14ac:dyDescent="0.35">
      <c r="A45" s="48">
        <v>43</v>
      </c>
      <c r="B45" s="59"/>
      <c r="C45" s="50">
        <f t="shared" si="2"/>
        <v>45820</v>
      </c>
      <c r="D45" s="44">
        <f t="shared" si="0"/>
        <v>0.50069444444444444</v>
      </c>
      <c r="E45" s="47"/>
      <c r="F45" s="64"/>
      <c r="G45" s="65"/>
      <c r="H45" s="12"/>
      <c r="I45" s="11"/>
    </row>
    <row r="46" spans="1:9" x14ac:dyDescent="0.35">
      <c r="A46" s="48">
        <v>44</v>
      </c>
      <c r="B46" s="59"/>
      <c r="C46" s="50">
        <f t="shared" si="2"/>
        <v>45821</v>
      </c>
      <c r="D46" s="44">
        <f t="shared" si="0"/>
        <v>0.50069444444444444</v>
      </c>
      <c r="E46" s="47"/>
      <c r="F46" s="64"/>
      <c r="G46" s="65"/>
      <c r="H46" s="12"/>
      <c r="I46" s="11"/>
    </row>
    <row r="47" spans="1:9" x14ac:dyDescent="0.35">
      <c r="A47" s="48">
        <v>45</v>
      </c>
      <c r="B47" s="59"/>
      <c r="C47" s="50">
        <f t="shared" si="2"/>
        <v>45822</v>
      </c>
      <c r="D47" s="44">
        <f t="shared" si="0"/>
        <v>0.50069444444444444</v>
      </c>
      <c r="E47" s="47"/>
      <c r="F47" s="64"/>
      <c r="G47" s="65"/>
      <c r="H47" s="12"/>
      <c r="I47" s="11"/>
    </row>
    <row r="48" spans="1:9" x14ac:dyDescent="0.35">
      <c r="A48" s="48">
        <v>46</v>
      </c>
      <c r="B48" s="59"/>
      <c r="C48" s="50">
        <f t="shared" si="2"/>
        <v>45823</v>
      </c>
      <c r="D48" s="44">
        <f t="shared" si="0"/>
        <v>0.50069444444444444</v>
      </c>
      <c r="E48" s="47"/>
      <c r="F48" s="64"/>
      <c r="G48" s="65"/>
      <c r="H48" s="12"/>
      <c r="I48" s="11"/>
    </row>
    <row r="49" spans="1:9" x14ac:dyDescent="0.35">
      <c r="A49" s="48">
        <v>47</v>
      </c>
      <c r="B49" s="59"/>
      <c r="C49" s="50">
        <f t="shared" si="2"/>
        <v>45824</v>
      </c>
      <c r="D49" s="44">
        <f t="shared" si="0"/>
        <v>0.50069444444444444</v>
      </c>
      <c r="E49" s="47"/>
      <c r="F49" s="64"/>
      <c r="G49" s="65"/>
      <c r="H49" s="12"/>
      <c r="I49" s="11"/>
    </row>
    <row r="50" spans="1:9" x14ac:dyDescent="0.35">
      <c r="A50" s="48">
        <v>48</v>
      </c>
      <c r="B50" s="59"/>
      <c r="C50" s="50">
        <f t="shared" si="2"/>
        <v>45825</v>
      </c>
      <c r="D50" s="44">
        <f t="shared" si="0"/>
        <v>0.50069444444444444</v>
      </c>
      <c r="E50" s="47"/>
      <c r="F50" s="64"/>
      <c r="G50" s="65"/>
      <c r="H50" s="12"/>
      <c r="I50" s="11"/>
    </row>
    <row r="51" spans="1:9" x14ac:dyDescent="0.35">
      <c r="A51" s="48">
        <v>49</v>
      </c>
      <c r="B51" s="59"/>
      <c r="C51" s="50">
        <f t="shared" si="2"/>
        <v>45826</v>
      </c>
      <c r="D51" s="44">
        <f t="shared" si="0"/>
        <v>0.50069444444444444</v>
      </c>
      <c r="E51" s="47"/>
      <c r="F51" s="64"/>
      <c r="G51" s="65"/>
      <c r="H51" s="12"/>
      <c r="I51" s="11"/>
    </row>
    <row r="52" spans="1:9" x14ac:dyDescent="0.35">
      <c r="A52" s="48">
        <v>50</v>
      </c>
      <c r="B52" s="59"/>
      <c r="C52" s="50">
        <f t="shared" si="2"/>
        <v>45827</v>
      </c>
      <c r="D52" s="44">
        <f t="shared" si="0"/>
        <v>0.50069444444444444</v>
      </c>
      <c r="E52" s="47"/>
      <c r="F52" s="64"/>
      <c r="G52" s="65"/>
      <c r="H52" s="12"/>
      <c r="I52" s="11"/>
    </row>
    <row r="53" spans="1:9" x14ac:dyDescent="0.35">
      <c r="A53" s="48">
        <v>51</v>
      </c>
      <c r="B53" s="59"/>
      <c r="C53" s="50">
        <f t="shared" si="2"/>
        <v>45828</v>
      </c>
      <c r="D53" s="44">
        <f t="shared" si="0"/>
        <v>0.50069444444444444</v>
      </c>
      <c r="E53" s="47"/>
      <c r="F53" s="64"/>
      <c r="G53" s="65"/>
      <c r="H53" s="12"/>
      <c r="I53" s="11"/>
    </row>
    <row r="54" spans="1:9" x14ac:dyDescent="0.35">
      <c r="A54" s="48">
        <v>52</v>
      </c>
      <c r="B54" s="59"/>
      <c r="C54" s="50">
        <f t="shared" si="2"/>
        <v>45829</v>
      </c>
      <c r="D54" s="44">
        <f t="shared" si="0"/>
        <v>0.50069444444444444</v>
      </c>
      <c r="E54" s="47"/>
      <c r="F54" s="64"/>
      <c r="G54" s="65"/>
      <c r="H54" s="12"/>
      <c r="I54" s="11"/>
    </row>
    <row r="55" spans="1:9" x14ac:dyDescent="0.35">
      <c r="A55" s="48">
        <v>53</v>
      </c>
      <c r="B55" s="59"/>
      <c r="C55" s="50">
        <f t="shared" si="2"/>
        <v>45830</v>
      </c>
      <c r="D55" s="44">
        <f t="shared" si="0"/>
        <v>0.50069444444444444</v>
      </c>
      <c r="E55" s="47"/>
      <c r="F55" s="64"/>
      <c r="G55" s="65"/>
      <c r="H55" s="12"/>
      <c r="I55" s="11"/>
    </row>
    <row r="56" spans="1:9" x14ac:dyDescent="0.35">
      <c r="A56" s="48">
        <v>54</v>
      </c>
      <c r="B56" s="59"/>
      <c r="C56" s="50">
        <f t="shared" si="2"/>
        <v>45831</v>
      </c>
      <c r="D56" s="44">
        <f t="shared" si="0"/>
        <v>0.50069444444444444</v>
      </c>
      <c r="E56" s="47"/>
      <c r="F56" s="64"/>
      <c r="G56" s="65"/>
      <c r="H56" s="12"/>
      <c r="I56" s="11"/>
    </row>
    <row r="57" spans="1:9" x14ac:dyDescent="0.35">
      <c r="A57" s="48">
        <v>55</v>
      </c>
      <c r="B57" s="59"/>
      <c r="C57" s="50">
        <f t="shared" si="2"/>
        <v>45832</v>
      </c>
      <c r="D57" s="44">
        <f t="shared" si="0"/>
        <v>0.50069444444444444</v>
      </c>
      <c r="E57" s="47"/>
      <c r="F57" s="64"/>
      <c r="G57" s="65"/>
      <c r="H57" s="12"/>
      <c r="I57" s="11"/>
    </row>
    <row r="58" spans="1:9" x14ac:dyDescent="0.35">
      <c r="A58" s="48">
        <v>56</v>
      </c>
      <c r="B58" s="59"/>
      <c r="C58" s="50">
        <f t="shared" si="2"/>
        <v>45833</v>
      </c>
      <c r="D58" s="44">
        <f t="shared" si="0"/>
        <v>0.50069444444444444</v>
      </c>
      <c r="E58" s="47"/>
      <c r="F58" s="64"/>
      <c r="G58" s="65"/>
      <c r="H58" s="12"/>
      <c r="I58" s="11"/>
    </row>
    <row r="59" spans="1:9" x14ac:dyDescent="0.35">
      <c r="A59" s="48">
        <v>57</v>
      </c>
      <c r="B59" s="59"/>
      <c r="C59" s="50">
        <f t="shared" si="2"/>
        <v>45834</v>
      </c>
      <c r="D59" s="44">
        <f t="shared" si="0"/>
        <v>0.50069444444444444</v>
      </c>
      <c r="E59" s="47"/>
      <c r="F59" s="64"/>
      <c r="G59" s="65"/>
      <c r="H59" s="12"/>
      <c r="I59" s="11"/>
    </row>
    <row r="60" spans="1:9" x14ac:dyDescent="0.35">
      <c r="A60" s="48">
        <v>58</v>
      </c>
      <c r="B60" s="59"/>
      <c r="C60" s="50">
        <f t="shared" si="2"/>
        <v>45835</v>
      </c>
      <c r="D60" s="44">
        <f t="shared" si="0"/>
        <v>0.50069444444444444</v>
      </c>
      <c r="E60" s="47"/>
      <c r="F60" s="64"/>
      <c r="G60" s="65"/>
      <c r="H60" s="12"/>
      <c r="I60" s="11"/>
    </row>
    <row r="61" spans="1:9" x14ac:dyDescent="0.35">
      <c r="A61" s="48">
        <v>59</v>
      </c>
      <c r="B61" s="59"/>
      <c r="C61" s="50">
        <f t="shared" si="2"/>
        <v>45836</v>
      </c>
      <c r="D61" s="44">
        <f t="shared" si="0"/>
        <v>0.50069444444444444</v>
      </c>
      <c r="E61" s="47"/>
      <c r="F61" s="64"/>
      <c r="G61" s="65"/>
      <c r="H61" s="12"/>
      <c r="I61" s="11"/>
    </row>
    <row r="62" spans="1:9" x14ac:dyDescent="0.35">
      <c r="A62" s="48">
        <v>60</v>
      </c>
      <c r="B62" s="59"/>
      <c r="C62" s="50">
        <f t="shared" si="2"/>
        <v>45837</v>
      </c>
      <c r="D62" s="44">
        <f t="shared" si="0"/>
        <v>0.50069444444444444</v>
      </c>
      <c r="E62" s="47"/>
      <c r="F62" s="64"/>
      <c r="G62" s="65"/>
      <c r="H62" s="12"/>
      <c r="I62" s="11"/>
    </row>
    <row r="63" spans="1:9" x14ac:dyDescent="0.35">
      <c r="A63" s="48">
        <v>61</v>
      </c>
      <c r="B63" s="59"/>
      <c r="C63" s="50">
        <f t="shared" si="2"/>
        <v>45838</v>
      </c>
      <c r="D63" s="44">
        <f t="shared" si="0"/>
        <v>0.50069444444444444</v>
      </c>
      <c r="E63" s="47"/>
      <c r="F63" s="64"/>
      <c r="G63" s="65"/>
      <c r="H63" s="12"/>
      <c r="I63" s="11"/>
    </row>
    <row r="64" spans="1:9" x14ac:dyDescent="0.35">
      <c r="A64" s="48">
        <v>62</v>
      </c>
      <c r="B64" s="59"/>
      <c r="C64" s="50">
        <f t="shared" si="2"/>
        <v>45839</v>
      </c>
      <c r="D64" s="44">
        <f t="shared" si="0"/>
        <v>0.50069444444444444</v>
      </c>
      <c r="E64" s="47"/>
      <c r="F64" s="64"/>
      <c r="G64" s="65"/>
      <c r="H64" s="12"/>
      <c r="I64" s="11"/>
    </row>
    <row r="65" spans="1:9" x14ac:dyDescent="0.35">
      <c r="A65" s="48">
        <v>63</v>
      </c>
      <c r="B65" s="59"/>
      <c r="C65" s="50">
        <f t="shared" si="2"/>
        <v>45840</v>
      </c>
      <c r="D65" s="44">
        <f t="shared" si="0"/>
        <v>0.50069444444444444</v>
      </c>
      <c r="E65" s="47"/>
      <c r="F65" s="64"/>
      <c r="G65" s="65"/>
      <c r="H65" s="12"/>
      <c r="I65" s="11"/>
    </row>
    <row r="66" spans="1:9" x14ac:dyDescent="0.35">
      <c r="A66" s="48">
        <v>64</v>
      </c>
      <c r="B66" s="59"/>
      <c r="C66" s="50">
        <f t="shared" si="2"/>
        <v>45841</v>
      </c>
      <c r="D66" s="44">
        <f t="shared" si="0"/>
        <v>0.50069444444444444</v>
      </c>
      <c r="E66" s="47"/>
      <c r="F66" s="64"/>
      <c r="G66" s="65"/>
      <c r="H66" s="12"/>
      <c r="I66" s="11"/>
    </row>
    <row r="67" spans="1:9" x14ac:dyDescent="0.35">
      <c r="A67" s="48">
        <v>65</v>
      </c>
      <c r="B67" s="59"/>
      <c r="C67" s="50">
        <f t="shared" si="2"/>
        <v>45842</v>
      </c>
      <c r="D67" s="44">
        <f t="shared" si="0"/>
        <v>0.50069444444444444</v>
      </c>
      <c r="E67" s="47"/>
      <c r="F67" s="64"/>
      <c r="G67" s="65"/>
      <c r="H67" s="12"/>
      <c r="I67" s="11"/>
    </row>
    <row r="68" spans="1:9" x14ac:dyDescent="0.35">
      <c r="A68" s="48">
        <v>66</v>
      </c>
      <c r="B68" s="59"/>
      <c r="C68" s="50">
        <f t="shared" si="2"/>
        <v>45843</v>
      </c>
      <c r="D68" s="44">
        <f t="shared" si="0"/>
        <v>0.50069444444444444</v>
      </c>
      <c r="E68" s="47"/>
      <c r="F68" s="64"/>
      <c r="G68" s="65"/>
      <c r="H68" s="12"/>
      <c r="I68" s="11"/>
    </row>
    <row r="69" spans="1:9" x14ac:dyDescent="0.35">
      <c r="A69" s="48">
        <v>67</v>
      </c>
      <c r="B69" s="59"/>
      <c r="C69" s="50">
        <f t="shared" si="2"/>
        <v>45844</v>
      </c>
      <c r="D69" s="44">
        <f t="shared" ref="D69:D132" si="3">TIME(12, 1, 0)</f>
        <v>0.50069444444444444</v>
      </c>
      <c r="E69" s="47"/>
      <c r="F69" s="64"/>
      <c r="G69" s="65"/>
      <c r="H69" s="12"/>
      <c r="I69" s="11"/>
    </row>
    <row r="70" spans="1:9" x14ac:dyDescent="0.35">
      <c r="A70" s="48">
        <v>68</v>
      </c>
      <c r="B70" s="59"/>
      <c r="C70" s="50">
        <f t="shared" si="2"/>
        <v>45845</v>
      </c>
      <c r="D70" s="44">
        <f t="shared" si="3"/>
        <v>0.50069444444444444</v>
      </c>
      <c r="E70" s="47"/>
      <c r="F70" s="64"/>
      <c r="G70" s="65"/>
      <c r="H70" s="12"/>
      <c r="I70" s="11"/>
    </row>
    <row r="71" spans="1:9" x14ac:dyDescent="0.35">
      <c r="A71" s="48">
        <v>69</v>
      </c>
      <c r="B71" s="59"/>
      <c r="C71" s="50">
        <f t="shared" si="2"/>
        <v>45846</v>
      </c>
      <c r="D71" s="44">
        <f t="shared" si="3"/>
        <v>0.50069444444444444</v>
      </c>
      <c r="E71" s="47"/>
      <c r="F71" s="64"/>
      <c r="G71" s="65"/>
      <c r="H71" s="12"/>
      <c r="I71" s="11"/>
    </row>
    <row r="72" spans="1:9" x14ac:dyDescent="0.35">
      <c r="A72" s="48">
        <v>70</v>
      </c>
      <c r="B72" s="59"/>
      <c r="C72" s="50">
        <f t="shared" si="2"/>
        <v>45847</v>
      </c>
      <c r="D72" s="44">
        <f t="shared" si="3"/>
        <v>0.50069444444444444</v>
      </c>
      <c r="E72" s="47"/>
      <c r="F72" s="64"/>
      <c r="G72" s="65"/>
      <c r="H72" s="12"/>
      <c r="I72" s="11"/>
    </row>
    <row r="73" spans="1:9" x14ac:dyDescent="0.35">
      <c r="A73" s="48">
        <v>71</v>
      </c>
      <c r="B73" s="59"/>
      <c r="C73" s="50">
        <f t="shared" si="2"/>
        <v>45848</v>
      </c>
      <c r="D73" s="44">
        <f t="shared" si="3"/>
        <v>0.50069444444444444</v>
      </c>
      <c r="E73" s="47"/>
      <c r="F73" s="64"/>
      <c r="G73" s="65"/>
      <c r="H73" s="12"/>
      <c r="I73" s="11"/>
    </row>
    <row r="74" spans="1:9" x14ac:dyDescent="0.35">
      <c r="A74" s="48">
        <v>72</v>
      </c>
      <c r="B74" s="59"/>
      <c r="C74" s="50">
        <f t="shared" si="2"/>
        <v>45849</v>
      </c>
      <c r="D74" s="44">
        <f t="shared" si="3"/>
        <v>0.50069444444444444</v>
      </c>
      <c r="E74" s="47"/>
      <c r="F74" s="64"/>
      <c r="G74" s="65"/>
      <c r="H74" s="12"/>
      <c r="I74" s="11"/>
    </row>
    <row r="75" spans="1:9" x14ac:dyDescent="0.35">
      <c r="A75" s="48">
        <v>73</v>
      </c>
      <c r="B75" s="59"/>
      <c r="C75" s="50">
        <f t="shared" si="2"/>
        <v>45850</v>
      </c>
      <c r="D75" s="44">
        <f t="shared" si="3"/>
        <v>0.50069444444444444</v>
      </c>
      <c r="E75" s="47"/>
      <c r="F75" s="64"/>
      <c r="G75" s="65"/>
      <c r="H75" s="12"/>
      <c r="I75" s="11"/>
    </row>
    <row r="76" spans="1:9" x14ac:dyDescent="0.35">
      <c r="A76" s="48">
        <v>74</v>
      </c>
      <c r="B76" s="59"/>
      <c r="C76" s="50">
        <f t="shared" si="2"/>
        <v>45851</v>
      </c>
      <c r="D76" s="44">
        <f t="shared" si="3"/>
        <v>0.50069444444444444</v>
      </c>
      <c r="E76" s="47"/>
      <c r="F76" s="64"/>
      <c r="G76" s="65"/>
      <c r="H76" s="12"/>
      <c r="I76" s="11"/>
    </row>
    <row r="77" spans="1:9" x14ac:dyDescent="0.35">
      <c r="A77" s="48">
        <v>75</v>
      </c>
      <c r="B77" s="59"/>
      <c r="C77" s="50">
        <f t="shared" si="2"/>
        <v>45852</v>
      </c>
      <c r="D77" s="44">
        <f t="shared" si="3"/>
        <v>0.50069444444444444</v>
      </c>
      <c r="E77" s="47"/>
      <c r="F77" s="64"/>
      <c r="G77" s="65"/>
      <c r="H77" s="12"/>
      <c r="I77" s="11"/>
    </row>
    <row r="78" spans="1:9" x14ac:dyDescent="0.35">
      <c r="A78" s="48">
        <v>76</v>
      </c>
      <c r="B78" s="59"/>
      <c r="C78" s="50">
        <f t="shared" si="2"/>
        <v>45853</v>
      </c>
      <c r="D78" s="44">
        <f t="shared" si="3"/>
        <v>0.50069444444444444</v>
      </c>
      <c r="E78" s="47"/>
      <c r="F78" s="64"/>
      <c r="G78" s="65"/>
      <c r="H78" s="12"/>
      <c r="I78" s="11"/>
    </row>
    <row r="79" spans="1:9" x14ac:dyDescent="0.35">
      <c r="A79" s="48">
        <v>77</v>
      </c>
      <c r="B79" s="59"/>
      <c r="C79" s="50">
        <f t="shared" si="2"/>
        <v>45854</v>
      </c>
      <c r="D79" s="44">
        <f t="shared" si="3"/>
        <v>0.50069444444444444</v>
      </c>
      <c r="E79" s="47"/>
      <c r="F79" s="64"/>
      <c r="G79" s="65"/>
      <c r="H79" s="12"/>
      <c r="I79" s="11"/>
    </row>
    <row r="80" spans="1:9" x14ac:dyDescent="0.35">
      <c r="A80" s="48">
        <v>78</v>
      </c>
      <c r="B80" s="59"/>
      <c r="C80" s="50">
        <f t="shared" si="2"/>
        <v>45855</v>
      </c>
      <c r="D80" s="44">
        <f t="shared" si="3"/>
        <v>0.50069444444444444</v>
      </c>
      <c r="E80" s="47"/>
      <c r="F80" s="64"/>
      <c r="G80" s="65"/>
      <c r="H80" s="12"/>
      <c r="I80" s="11"/>
    </row>
    <row r="81" spans="1:9" x14ac:dyDescent="0.35">
      <c r="A81" s="48">
        <v>79</v>
      </c>
      <c r="B81" s="59"/>
      <c r="C81" s="50">
        <f t="shared" si="2"/>
        <v>45856</v>
      </c>
      <c r="D81" s="44">
        <f t="shared" si="3"/>
        <v>0.50069444444444444</v>
      </c>
      <c r="E81" s="47"/>
      <c r="F81" s="64"/>
      <c r="G81" s="65"/>
      <c r="H81" s="12"/>
      <c r="I81" s="11"/>
    </row>
    <row r="82" spans="1:9" x14ac:dyDescent="0.35">
      <c r="A82" s="48">
        <v>80</v>
      </c>
      <c r="B82" s="59"/>
      <c r="C82" s="50">
        <f t="shared" si="2"/>
        <v>45857</v>
      </c>
      <c r="D82" s="44">
        <f t="shared" si="3"/>
        <v>0.50069444444444444</v>
      </c>
      <c r="E82" s="47"/>
      <c r="F82" s="64"/>
      <c r="G82" s="65"/>
      <c r="H82" s="12"/>
      <c r="I82" s="11"/>
    </row>
    <row r="83" spans="1:9" x14ac:dyDescent="0.35">
      <c r="A83" s="48">
        <v>81</v>
      </c>
      <c r="B83" s="59"/>
      <c r="C83" s="50">
        <f t="shared" si="2"/>
        <v>45858</v>
      </c>
      <c r="D83" s="44">
        <f t="shared" si="3"/>
        <v>0.50069444444444444</v>
      </c>
      <c r="E83" s="47"/>
      <c r="F83" s="64"/>
      <c r="G83" s="65"/>
      <c r="H83" s="12"/>
      <c r="I83" s="11"/>
    </row>
    <row r="84" spans="1:9" x14ac:dyDescent="0.35">
      <c r="A84" s="48">
        <v>82</v>
      </c>
      <c r="B84" s="59"/>
      <c r="C84" s="50">
        <f t="shared" si="2"/>
        <v>45859</v>
      </c>
      <c r="D84" s="44">
        <f t="shared" si="3"/>
        <v>0.50069444444444444</v>
      </c>
      <c r="E84" s="47"/>
      <c r="F84" s="64"/>
      <c r="G84" s="65"/>
      <c r="H84" s="12"/>
      <c r="I84" s="11"/>
    </row>
    <row r="85" spans="1:9" x14ac:dyDescent="0.35">
      <c r="A85" s="48">
        <v>83</v>
      </c>
      <c r="B85" s="59"/>
      <c r="C85" s="50">
        <f t="shared" si="2"/>
        <v>45860</v>
      </c>
      <c r="D85" s="44">
        <f t="shared" si="3"/>
        <v>0.50069444444444444</v>
      </c>
      <c r="E85" s="47"/>
      <c r="F85" s="64"/>
      <c r="G85" s="65"/>
      <c r="H85" s="12"/>
      <c r="I85" s="11"/>
    </row>
    <row r="86" spans="1:9" x14ac:dyDescent="0.35">
      <c r="A86" s="48">
        <v>84</v>
      </c>
      <c r="B86" s="59"/>
      <c r="C86" s="50">
        <f t="shared" si="2"/>
        <v>45861</v>
      </c>
      <c r="D86" s="44">
        <f t="shared" si="3"/>
        <v>0.50069444444444444</v>
      </c>
      <c r="E86" s="47"/>
      <c r="F86" s="64"/>
      <c r="G86" s="65"/>
      <c r="H86" s="12"/>
      <c r="I86" s="11"/>
    </row>
    <row r="87" spans="1:9" x14ac:dyDescent="0.35">
      <c r="A87" s="48">
        <v>85</v>
      </c>
      <c r="B87" s="59"/>
      <c r="C87" s="50">
        <f t="shared" si="2"/>
        <v>45862</v>
      </c>
      <c r="D87" s="44">
        <f t="shared" si="3"/>
        <v>0.50069444444444444</v>
      </c>
      <c r="E87" s="47"/>
      <c r="F87" s="64"/>
      <c r="G87" s="65"/>
      <c r="H87" s="12"/>
      <c r="I87" s="11"/>
    </row>
    <row r="88" spans="1:9" x14ac:dyDescent="0.35">
      <c r="A88" s="48">
        <v>86</v>
      </c>
      <c r="B88" s="59"/>
      <c r="C88" s="50">
        <f t="shared" si="2"/>
        <v>45863</v>
      </c>
      <c r="D88" s="44">
        <f t="shared" si="3"/>
        <v>0.50069444444444444</v>
      </c>
      <c r="E88" s="47"/>
      <c r="F88" s="64"/>
      <c r="G88" s="65"/>
      <c r="H88" s="12"/>
      <c r="I88" s="11"/>
    </row>
    <row r="89" spans="1:9" x14ac:dyDescent="0.35">
      <c r="A89" s="48">
        <v>87</v>
      </c>
      <c r="B89" s="59"/>
      <c r="C89" s="50">
        <f t="shared" si="2"/>
        <v>45864</v>
      </c>
      <c r="D89" s="44">
        <f t="shared" si="3"/>
        <v>0.50069444444444444</v>
      </c>
      <c r="E89" s="47"/>
      <c r="F89" s="64"/>
      <c r="G89" s="65"/>
      <c r="H89" s="12"/>
      <c r="I89" s="11"/>
    </row>
    <row r="90" spans="1:9" x14ac:dyDescent="0.35">
      <c r="A90" s="48">
        <v>88</v>
      </c>
      <c r="B90" s="59"/>
      <c r="C90" s="50">
        <f t="shared" si="2"/>
        <v>45865</v>
      </c>
      <c r="D90" s="44">
        <f t="shared" si="3"/>
        <v>0.50069444444444444</v>
      </c>
      <c r="E90" s="47"/>
      <c r="F90" s="64"/>
      <c r="G90" s="65"/>
      <c r="H90" s="12"/>
      <c r="I90" s="11"/>
    </row>
    <row r="91" spans="1:9" x14ac:dyDescent="0.35">
      <c r="A91" s="48">
        <v>89</v>
      </c>
      <c r="B91" s="59"/>
      <c r="C91" s="50">
        <f t="shared" si="2"/>
        <v>45866</v>
      </c>
      <c r="D91" s="44">
        <f t="shared" si="3"/>
        <v>0.50069444444444444</v>
      </c>
      <c r="E91" s="47"/>
      <c r="F91" s="64"/>
      <c r="G91" s="65"/>
      <c r="H91" s="12"/>
      <c r="I91" s="11"/>
    </row>
    <row r="92" spans="1:9" x14ac:dyDescent="0.35">
      <c r="A92" s="48">
        <v>90</v>
      </c>
      <c r="B92" s="59"/>
      <c r="C92" s="50">
        <f t="shared" si="2"/>
        <v>45867</v>
      </c>
      <c r="D92" s="44">
        <f t="shared" si="3"/>
        <v>0.50069444444444444</v>
      </c>
      <c r="E92" s="47"/>
      <c r="F92" s="64"/>
      <c r="G92" s="65"/>
      <c r="H92" s="12"/>
      <c r="I92" s="11"/>
    </row>
    <row r="93" spans="1:9" x14ac:dyDescent="0.35">
      <c r="A93" s="48">
        <v>91</v>
      </c>
      <c r="B93" s="59"/>
      <c r="C93" s="50">
        <f t="shared" si="2"/>
        <v>45868</v>
      </c>
      <c r="D93" s="44">
        <f t="shared" si="3"/>
        <v>0.50069444444444444</v>
      </c>
      <c r="E93" s="47"/>
      <c r="F93" s="64"/>
      <c r="G93" s="65"/>
      <c r="H93" s="12"/>
      <c r="I93" s="11"/>
    </row>
    <row r="94" spans="1:9" x14ac:dyDescent="0.35">
      <c r="A94" s="48">
        <v>92</v>
      </c>
      <c r="B94" s="59"/>
      <c r="C94" s="50">
        <f t="shared" si="2"/>
        <v>45869</v>
      </c>
      <c r="D94" s="44">
        <f t="shared" si="3"/>
        <v>0.50069444444444444</v>
      </c>
      <c r="E94" s="47"/>
      <c r="F94" s="64"/>
      <c r="G94" s="65"/>
      <c r="H94" s="12"/>
      <c r="I94" s="11"/>
    </row>
    <row r="95" spans="1:9" x14ac:dyDescent="0.35">
      <c r="A95" s="48">
        <v>93</v>
      </c>
      <c r="B95" s="59"/>
      <c r="C95" s="50">
        <f t="shared" si="2"/>
        <v>45870</v>
      </c>
      <c r="D95" s="44">
        <f t="shared" si="3"/>
        <v>0.50069444444444444</v>
      </c>
      <c r="E95" s="47"/>
      <c r="F95" s="64"/>
      <c r="G95" s="65"/>
      <c r="H95" s="12"/>
      <c r="I95" s="11"/>
    </row>
    <row r="96" spans="1:9" x14ac:dyDescent="0.35">
      <c r="A96" s="48">
        <v>94</v>
      </c>
      <c r="B96" s="59"/>
      <c r="C96" s="50">
        <f t="shared" si="2"/>
        <v>45871</v>
      </c>
      <c r="D96" s="44">
        <f t="shared" si="3"/>
        <v>0.50069444444444444</v>
      </c>
      <c r="E96" s="47"/>
      <c r="F96" s="64"/>
      <c r="G96" s="65"/>
      <c r="H96" s="12"/>
      <c r="I96" s="11"/>
    </row>
    <row r="97" spans="1:9" x14ac:dyDescent="0.35">
      <c r="A97" s="48">
        <v>95</v>
      </c>
      <c r="B97" s="59"/>
      <c r="C97" s="50">
        <f t="shared" si="2"/>
        <v>45872</v>
      </c>
      <c r="D97" s="44">
        <f t="shared" si="3"/>
        <v>0.50069444444444444</v>
      </c>
      <c r="E97" s="47"/>
      <c r="F97" s="64"/>
      <c r="G97" s="65"/>
      <c r="H97" s="12"/>
      <c r="I97" s="11"/>
    </row>
    <row r="98" spans="1:9" x14ac:dyDescent="0.35">
      <c r="A98" s="48">
        <v>96</v>
      </c>
      <c r="B98" s="59"/>
      <c r="C98" s="50">
        <f t="shared" ref="C98:C161" si="4">C97+1</f>
        <v>45873</v>
      </c>
      <c r="D98" s="44">
        <f t="shared" si="3"/>
        <v>0.50069444444444444</v>
      </c>
      <c r="E98" s="47"/>
      <c r="F98" s="64"/>
      <c r="G98" s="65"/>
      <c r="H98" s="12"/>
      <c r="I98" s="11"/>
    </row>
    <row r="99" spans="1:9" x14ac:dyDescent="0.35">
      <c r="A99" s="48">
        <v>97</v>
      </c>
      <c r="B99" s="59"/>
      <c r="C99" s="50">
        <f t="shared" si="4"/>
        <v>45874</v>
      </c>
      <c r="D99" s="44">
        <f t="shared" si="3"/>
        <v>0.50069444444444444</v>
      </c>
      <c r="E99" s="47"/>
      <c r="F99" s="64"/>
      <c r="G99" s="65"/>
      <c r="H99" s="12"/>
      <c r="I99" s="11"/>
    </row>
    <row r="100" spans="1:9" x14ac:dyDescent="0.35">
      <c r="A100" s="48">
        <v>98</v>
      </c>
      <c r="B100" s="59"/>
      <c r="C100" s="50">
        <f t="shared" si="4"/>
        <v>45875</v>
      </c>
      <c r="D100" s="44">
        <f t="shared" si="3"/>
        <v>0.50069444444444444</v>
      </c>
      <c r="E100" s="47"/>
      <c r="F100" s="64"/>
      <c r="G100" s="65"/>
      <c r="H100" s="12"/>
      <c r="I100" s="11"/>
    </row>
    <row r="101" spans="1:9" x14ac:dyDescent="0.35">
      <c r="A101" s="48">
        <v>99</v>
      </c>
      <c r="B101" s="59"/>
      <c r="C101" s="50">
        <f t="shared" si="4"/>
        <v>45876</v>
      </c>
      <c r="D101" s="44">
        <f t="shared" si="3"/>
        <v>0.50069444444444444</v>
      </c>
      <c r="E101" s="47"/>
      <c r="F101" s="64"/>
      <c r="G101" s="65"/>
      <c r="H101" s="12"/>
      <c r="I101" s="11"/>
    </row>
    <row r="102" spans="1:9" x14ac:dyDescent="0.35">
      <c r="A102" s="48">
        <v>100</v>
      </c>
      <c r="B102" s="59"/>
      <c r="C102" s="50">
        <f t="shared" si="4"/>
        <v>45877</v>
      </c>
      <c r="D102" s="44">
        <f t="shared" si="3"/>
        <v>0.50069444444444444</v>
      </c>
      <c r="E102" s="47"/>
      <c r="F102" s="64"/>
      <c r="G102" s="65"/>
      <c r="H102" s="12"/>
      <c r="I102" s="11"/>
    </row>
    <row r="103" spans="1:9" x14ac:dyDescent="0.35">
      <c r="A103" s="48">
        <v>101</v>
      </c>
      <c r="B103" s="59"/>
      <c r="C103" s="50">
        <f t="shared" si="4"/>
        <v>45878</v>
      </c>
      <c r="D103" s="44">
        <f t="shared" si="3"/>
        <v>0.50069444444444444</v>
      </c>
      <c r="E103" s="47"/>
      <c r="F103" s="64"/>
      <c r="G103" s="65"/>
      <c r="H103" s="12"/>
      <c r="I103" s="11"/>
    </row>
    <row r="104" spans="1:9" x14ac:dyDescent="0.35">
      <c r="A104" s="48">
        <v>102</v>
      </c>
      <c r="B104" s="59"/>
      <c r="C104" s="50">
        <f t="shared" si="4"/>
        <v>45879</v>
      </c>
      <c r="D104" s="44">
        <f t="shared" si="3"/>
        <v>0.50069444444444444</v>
      </c>
      <c r="E104" s="47"/>
      <c r="F104" s="64"/>
      <c r="G104" s="65"/>
      <c r="H104" s="12"/>
      <c r="I104" s="11"/>
    </row>
    <row r="105" spans="1:9" x14ac:dyDescent="0.35">
      <c r="A105" s="48">
        <v>103</v>
      </c>
      <c r="B105" s="59"/>
      <c r="C105" s="50">
        <f t="shared" si="4"/>
        <v>45880</v>
      </c>
      <c r="D105" s="44">
        <f t="shared" si="3"/>
        <v>0.50069444444444444</v>
      </c>
      <c r="E105" s="47"/>
      <c r="F105" s="64"/>
      <c r="G105" s="65"/>
      <c r="H105" s="12"/>
      <c r="I105" s="11"/>
    </row>
    <row r="106" spans="1:9" x14ac:dyDescent="0.35">
      <c r="A106" s="48">
        <v>104</v>
      </c>
      <c r="B106" s="59"/>
      <c r="C106" s="50">
        <f t="shared" si="4"/>
        <v>45881</v>
      </c>
      <c r="D106" s="44">
        <f t="shared" si="3"/>
        <v>0.50069444444444444</v>
      </c>
      <c r="E106" s="47"/>
      <c r="F106" s="64"/>
      <c r="G106" s="65"/>
      <c r="H106" s="12"/>
      <c r="I106" s="11"/>
    </row>
    <row r="107" spans="1:9" x14ac:dyDescent="0.35">
      <c r="A107" s="48">
        <v>105</v>
      </c>
      <c r="B107" s="59"/>
      <c r="C107" s="50">
        <f t="shared" si="4"/>
        <v>45882</v>
      </c>
      <c r="D107" s="44">
        <f t="shared" si="3"/>
        <v>0.50069444444444444</v>
      </c>
      <c r="E107" s="47"/>
      <c r="F107" s="64"/>
      <c r="G107" s="65"/>
      <c r="H107" s="12"/>
      <c r="I107" s="11"/>
    </row>
    <row r="108" spans="1:9" x14ac:dyDescent="0.35">
      <c r="A108" s="48">
        <v>106</v>
      </c>
      <c r="B108" s="59"/>
      <c r="C108" s="50">
        <f t="shared" si="4"/>
        <v>45883</v>
      </c>
      <c r="D108" s="44">
        <f t="shared" si="3"/>
        <v>0.50069444444444444</v>
      </c>
      <c r="E108" s="47"/>
      <c r="F108" s="64"/>
      <c r="G108" s="65"/>
      <c r="H108" s="12"/>
      <c r="I108" s="11"/>
    </row>
    <row r="109" spans="1:9" x14ac:dyDescent="0.35">
      <c r="A109" s="48">
        <v>107</v>
      </c>
      <c r="B109" s="59"/>
      <c r="C109" s="50">
        <f t="shared" si="4"/>
        <v>45884</v>
      </c>
      <c r="D109" s="44">
        <f t="shared" si="3"/>
        <v>0.50069444444444444</v>
      </c>
      <c r="E109" s="47"/>
      <c r="F109" s="64"/>
      <c r="G109" s="65"/>
      <c r="H109" s="12"/>
      <c r="I109" s="11"/>
    </row>
    <row r="110" spans="1:9" x14ac:dyDescent="0.35">
      <c r="A110" s="48">
        <v>108</v>
      </c>
      <c r="B110" s="59"/>
      <c r="C110" s="50">
        <f t="shared" si="4"/>
        <v>45885</v>
      </c>
      <c r="D110" s="44">
        <f t="shared" si="3"/>
        <v>0.50069444444444444</v>
      </c>
      <c r="E110" s="47"/>
      <c r="F110" s="64"/>
      <c r="G110" s="65"/>
      <c r="H110" s="12"/>
      <c r="I110" s="11"/>
    </row>
    <row r="111" spans="1:9" x14ac:dyDescent="0.35">
      <c r="A111" s="48">
        <v>109</v>
      </c>
      <c r="B111" s="59"/>
      <c r="C111" s="50">
        <f t="shared" si="4"/>
        <v>45886</v>
      </c>
      <c r="D111" s="44">
        <f t="shared" si="3"/>
        <v>0.50069444444444444</v>
      </c>
      <c r="E111" s="47"/>
      <c r="F111" s="64"/>
      <c r="G111" s="65"/>
      <c r="H111" s="12"/>
      <c r="I111" s="11"/>
    </row>
    <row r="112" spans="1:9" x14ac:dyDescent="0.35">
      <c r="A112" s="48">
        <v>110</v>
      </c>
      <c r="B112" s="59"/>
      <c r="C112" s="50">
        <f t="shared" si="4"/>
        <v>45887</v>
      </c>
      <c r="D112" s="44">
        <f t="shared" si="3"/>
        <v>0.50069444444444444</v>
      </c>
      <c r="E112" s="47"/>
      <c r="F112" s="64"/>
      <c r="G112" s="65"/>
      <c r="H112" s="12"/>
      <c r="I112" s="11"/>
    </row>
    <row r="113" spans="1:9" x14ac:dyDescent="0.35">
      <c r="A113" s="48">
        <v>111</v>
      </c>
      <c r="B113" s="59"/>
      <c r="C113" s="50">
        <f t="shared" si="4"/>
        <v>45888</v>
      </c>
      <c r="D113" s="44">
        <f t="shared" si="3"/>
        <v>0.50069444444444444</v>
      </c>
      <c r="E113" s="47"/>
      <c r="F113" s="64"/>
      <c r="G113" s="65"/>
      <c r="H113" s="12"/>
      <c r="I113" s="11"/>
    </row>
    <row r="114" spans="1:9" x14ac:dyDescent="0.35">
      <c r="A114" s="48">
        <v>112</v>
      </c>
      <c r="B114" s="59"/>
      <c r="C114" s="50">
        <f t="shared" si="4"/>
        <v>45889</v>
      </c>
      <c r="D114" s="44">
        <f t="shared" si="3"/>
        <v>0.50069444444444444</v>
      </c>
      <c r="E114" s="47"/>
      <c r="F114" s="64"/>
      <c r="G114" s="65"/>
      <c r="H114" s="12"/>
      <c r="I114" s="11"/>
    </row>
    <row r="115" spans="1:9" x14ac:dyDescent="0.35">
      <c r="A115" s="48">
        <v>113</v>
      </c>
      <c r="B115" s="59"/>
      <c r="C115" s="50">
        <f t="shared" si="4"/>
        <v>45890</v>
      </c>
      <c r="D115" s="44">
        <f t="shared" si="3"/>
        <v>0.50069444444444444</v>
      </c>
      <c r="E115" s="47"/>
      <c r="F115" s="64"/>
      <c r="G115" s="65"/>
      <c r="H115" s="12"/>
      <c r="I115" s="11"/>
    </row>
    <row r="116" spans="1:9" x14ac:dyDescent="0.35">
      <c r="A116" s="48">
        <v>114</v>
      </c>
      <c r="B116" s="59"/>
      <c r="C116" s="50">
        <f t="shared" si="4"/>
        <v>45891</v>
      </c>
      <c r="D116" s="44">
        <f t="shared" si="3"/>
        <v>0.50069444444444444</v>
      </c>
      <c r="E116" s="47"/>
      <c r="F116" s="64"/>
      <c r="G116" s="65"/>
      <c r="H116" s="12"/>
      <c r="I116" s="11"/>
    </row>
    <row r="117" spans="1:9" x14ac:dyDescent="0.35">
      <c r="A117" s="48">
        <v>115</v>
      </c>
      <c r="B117" s="59"/>
      <c r="C117" s="50">
        <f t="shared" si="4"/>
        <v>45892</v>
      </c>
      <c r="D117" s="44">
        <f t="shared" si="3"/>
        <v>0.50069444444444444</v>
      </c>
      <c r="E117" s="47"/>
      <c r="F117" s="64"/>
      <c r="G117" s="65"/>
      <c r="H117" s="12"/>
      <c r="I117" s="11"/>
    </row>
    <row r="118" spans="1:9" x14ac:dyDescent="0.35">
      <c r="A118" s="48">
        <v>116</v>
      </c>
      <c r="B118" s="59"/>
      <c r="C118" s="50">
        <f t="shared" si="4"/>
        <v>45893</v>
      </c>
      <c r="D118" s="44">
        <f t="shared" si="3"/>
        <v>0.50069444444444444</v>
      </c>
      <c r="E118" s="47"/>
      <c r="F118" s="64"/>
      <c r="G118" s="65"/>
      <c r="H118" s="12"/>
      <c r="I118" s="11"/>
    </row>
    <row r="119" spans="1:9" x14ac:dyDescent="0.35">
      <c r="A119" s="48">
        <v>117</v>
      </c>
      <c r="B119" s="59"/>
      <c r="C119" s="50">
        <f t="shared" si="4"/>
        <v>45894</v>
      </c>
      <c r="D119" s="44">
        <f t="shared" si="3"/>
        <v>0.50069444444444444</v>
      </c>
      <c r="E119" s="47"/>
      <c r="F119" s="64"/>
      <c r="G119" s="65"/>
      <c r="H119" s="12"/>
      <c r="I119" s="11"/>
    </row>
    <row r="120" spans="1:9" x14ac:dyDescent="0.35">
      <c r="A120" s="48">
        <v>118</v>
      </c>
      <c r="B120" s="59"/>
      <c r="C120" s="50">
        <f t="shared" si="4"/>
        <v>45895</v>
      </c>
      <c r="D120" s="44">
        <f t="shared" si="3"/>
        <v>0.50069444444444444</v>
      </c>
      <c r="E120" s="47"/>
      <c r="F120" s="64"/>
      <c r="G120" s="65"/>
      <c r="H120" s="12"/>
      <c r="I120" s="11"/>
    </row>
    <row r="121" spans="1:9" x14ac:dyDescent="0.35">
      <c r="A121" s="48">
        <v>119</v>
      </c>
      <c r="B121" s="59"/>
      <c r="C121" s="50">
        <f t="shared" si="4"/>
        <v>45896</v>
      </c>
      <c r="D121" s="44">
        <f t="shared" si="3"/>
        <v>0.50069444444444444</v>
      </c>
      <c r="E121" s="47"/>
      <c r="F121" s="64"/>
      <c r="G121" s="65"/>
      <c r="H121" s="12"/>
      <c r="I121" s="11"/>
    </row>
    <row r="122" spans="1:9" x14ac:dyDescent="0.35">
      <c r="A122" s="48">
        <v>120</v>
      </c>
      <c r="B122" s="59"/>
      <c r="C122" s="50">
        <f t="shared" si="4"/>
        <v>45897</v>
      </c>
      <c r="D122" s="44">
        <f t="shared" si="3"/>
        <v>0.50069444444444444</v>
      </c>
      <c r="E122" s="47"/>
      <c r="F122" s="64"/>
      <c r="G122" s="65"/>
      <c r="H122" s="12"/>
      <c r="I122" s="11"/>
    </row>
    <row r="123" spans="1:9" x14ac:dyDescent="0.35">
      <c r="A123" s="48">
        <v>121</v>
      </c>
      <c r="B123" s="59"/>
      <c r="C123" s="50">
        <f t="shared" si="4"/>
        <v>45898</v>
      </c>
      <c r="D123" s="44">
        <f t="shared" si="3"/>
        <v>0.50069444444444444</v>
      </c>
      <c r="E123" s="47"/>
      <c r="F123" s="64"/>
      <c r="G123" s="65"/>
      <c r="H123" s="12"/>
      <c r="I123" s="11"/>
    </row>
    <row r="124" spans="1:9" x14ac:dyDescent="0.35">
      <c r="A124" s="48">
        <v>122</v>
      </c>
      <c r="B124" s="59"/>
      <c r="C124" s="50">
        <f t="shared" si="4"/>
        <v>45899</v>
      </c>
      <c r="D124" s="44">
        <f t="shared" si="3"/>
        <v>0.50069444444444444</v>
      </c>
      <c r="E124" s="47"/>
      <c r="F124" s="64"/>
      <c r="G124" s="65"/>
      <c r="H124" s="12"/>
      <c r="I124" s="11"/>
    </row>
    <row r="125" spans="1:9" x14ac:dyDescent="0.35">
      <c r="A125" s="48">
        <v>123</v>
      </c>
      <c r="B125" s="59"/>
      <c r="C125" s="50">
        <f t="shared" si="4"/>
        <v>45900</v>
      </c>
      <c r="D125" s="44">
        <f t="shared" si="3"/>
        <v>0.50069444444444444</v>
      </c>
      <c r="E125" s="47"/>
      <c r="F125" s="64"/>
      <c r="G125" s="65"/>
      <c r="H125" s="12"/>
      <c r="I125" s="11"/>
    </row>
    <row r="126" spans="1:9" x14ac:dyDescent="0.35">
      <c r="A126" s="48">
        <v>124</v>
      </c>
      <c r="B126" s="59"/>
      <c r="C126" s="50">
        <f t="shared" si="4"/>
        <v>45901</v>
      </c>
      <c r="D126" s="44">
        <f t="shared" si="3"/>
        <v>0.50069444444444444</v>
      </c>
      <c r="E126" s="47"/>
      <c r="F126" s="64"/>
      <c r="G126" s="65"/>
      <c r="H126" s="12"/>
      <c r="I126" s="11"/>
    </row>
    <row r="127" spans="1:9" x14ac:dyDescent="0.35">
      <c r="A127" s="48">
        <v>125</v>
      </c>
      <c r="B127" s="59"/>
      <c r="C127" s="50">
        <f t="shared" si="4"/>
        <v>45902</v>
      </c>
      <c r="D127" s="44">
        <f t="shared" si="3"/>
        <v>0.50069444444444444</v>
      </c>
      <c r="E127" s="47"/>
      <c r="F127" s="64"/>
      <c r="G127" s="65"/>
      <c r="H127" s="12"/>
      <c r="I127" s="11"/>
    </row>
    <row r="128" spans="1:9" x14ac:dyDescent="0.35">
      <c r="A128" s="48">
        <v>126</v>
      </c>
      <c r="B128" s="59"/>
      <c r="C128" s="50">
        <f t="shared" si="4"/>
        <v>45903</v>
      </c>
      <c r="D128" s="44">
        <f t="shared" si="3"/>
        <v>0.50069444444444444</v>
      </c>
      <c r="E128" s="47"/>
      <c r="F128" s="64"/>
      <c r="G128" s="65"/>
      <c r="H128" s="12"/>
      <c r="I128" s="11"/>
    </row>
    <row r="129" spans="1:9" x14ac:dyDescent="0.35">
      <c r="A129" s="48">
        <v>127</v>
      </c>
      <c r="B129" s="59"/>
      <c r="C129" s="50">
        <f t="shared" si="4"/>
        <v>45904</v>
      </c>
      <c r="D129" s="44">
        <f t="shared" si="3"/>
        <v>0.50069444444444444</v>
      </c>
      <c r="E129" s="47"/>
      <c r="F129" s="64"/>
      <c r="G129" s="65"/>
      <c r="H129" s="12"/>
      <c r="I129" s="11"/>
    </row>
    <row r="130" spans="1:9" x14ac:dyDescent="0.35">
      <c r="A130" s="48">
        <v>128</v>
      </c>
      <c r="B130" s="59"/>
      <c r="C130" s="50">
        <f t="shared" si="4"/>
        <v>45905</v>
      </c>
      <c r="D130" s="44">
        <f t="shared" si="3"/>
        <v>0.50069444444444444</v>
      </c>
      <c r="E130" s="47"/>
      <c r="F130" s="64"/>
      <c r="G130" s="65"/>
      <c r="H130" s="12"/>
      <c r="I130" s="11"/>
    </row>
    <row r="131" spans="1:9" x14ac:dyDescent="0.35">
      <c r="A131" s="48">
        <v>129</v>
      </c>
      <c r="B131" s="59"/>
      <c r="C131" s="50">
        <f t="shared" si="4"/>
        <v>45906</v>
      </c>
      <c r="D131" s="44">
        <f t="shared" si="3"/>
        <v>0.50069444444444444</v>
      </c>
      <c r="E131" s="47"/>
      <c r="F131" s="64"/>
      <c r="G131" s="65"/>
      <c r="H131" s="12"/>
      <c r="I131" s="11"/>
    </row>
    <row r="132" spans="1:9" x14ac:dyDescent="0.35">
      <c r="A132" s="48">
        <v>130</v>
      </c>
      <c r="B132" s="59"/>
      <c r="C132" s="50">
        <f t="shared" si="4"/>
        <v>45907</v>
      </c>
      <c r="D132" s="44">
        <f t="shared" si="3"/>
        <v>0.50069444444444444</v>
      </c>
      <c r="E132" s="47"/>
      <c r="F132" s="64"/>
      <c r="G132" s="65"/>
      <c r="H132" s="12"/>
      <c r="I132" s="11"/>
    </row>
    <row r="133" spans="1:9" x14ac:dyDescent="0.35">
      <c r="A133" s="48">
        <v>131</v>
      </c>
      <c r="B133" s="59"/>
      <c r="C133" s="50">
        <f t="shared" si="4"/>
        <v>45908</v>
      </c>
      <c r="D133" s="44">
        <f t="shared" ref="D133:D196" si="5">TIME(12, 1, 0)</f>
        <v>0.50069444444444444</v>
      </c>
      <c r="E133" s="47"/>
      <c r="F133" s="64"/>
      <c r="G133" s="65"/>
      <c r="H133" s="12"/>
      <c r="I133" s="11"/>
    </row>
    <row r="134" spans="1:9" x14ac:dyDescent="0.35">
      <c r="A134" s="48">
        <v>132</v>
      </c>
      <c r="B134" s="59"/>
      <c r="C134" s="50">
        <f t="shared" si="4"/>
        <v>45909</v>
      </c>
      <c r="D134" s="44">
        <f t="shared" si="5"/>
        <v>0.50069444444444444</v>
      </c>
      <c r="E134" s="47"/>
      <c r="F134" s="64"/>
      <c r="G134" s="65"/>
      <c r="H134" s="12"/>
      <c r="I134" s="11"/>
    </row>
    <row r="135" spans="1:9" x14ac:dyDescent="0.35">
      <c r="A135" s="48">
        <v>133</v>
      </c>
      <c r="B135" s="59"/>
      <c r="C135" s="50">
        <f t="shared" si="4"/>
        <v>45910</v>
      </c>
      <c r="D135" s="44">
        <f t="shared" si="5"/>
        <v>0.50069444444444444</v>
      </c>
      <c r="E135" s="47"/>
      <c r="F135" s="64"/>
      <c r="G135" s="65"/>
      <c r="H135" s="12"/>
      <c r="I135" s="11"/>
    </row>
    <row r="136" spans="1:9" x14ac:dyDescent="0.35">
      <c r="A136" s="48">
        <v>134</v>
      </c>
      <c r="B136" s="59"/>
      <c r="C136" s="50">
        <f t="shared" si="4"/>
        <v>45911</v>
      </c>
      <c r="D136" s="44">
        <f t="shared" si="5"/>
        <v>0.50069444444444444</v>
      </c>
      <c r="E136" s="47"/>
      <c r="F136" s="64"/>
      <c r="G136" s="65"/>
      <c r="H136" s="12"/>
      <c r="I136" s="11"/>
    </row>
    <row r="137" spans="1:9" x14ac:dyDescent="0.35">
      <c r="A137" s="48">
        <v>135</v>
      </c>
      <c r="B137" s="59"/>
      <c r="C137" s="50">
        <f t="shared" si="4"/>
        <v>45912</v>
      </c>
      <c r="D137" s="44">
        <f t="shared" si="5"/>
        <v>0.50069444444444444</v>
      </c>
      <c r="E137" s="47"/>
      <c r="F137" s="64"/>
      <c r="G137" s="65"/>
      <c r="H137" s="12"/>
      <c r="I137" s="11"/>
    </row>
    <row r="138" spans="1:9" x14ac:dyDescent="0.35">
      <c r="A138" s="48">
        <v>136</v>
      </c>
      <c r="B138" s="59"/>
      <c r="C138" s="50">
        <f t="shared" si="4"/>
        <v>45913</v>
      </c>
      <c r="D138" s="44">
        <f t="shared" si="5"/>
        <v>0.50069444444444444</v>
      </c>
      <c r="E138" s="47"/>
      <c r="F138" s="64"/>
      <c r="G138" s="65"/>
      <c r="H138" s="12"/>
      <c r="I138" s="11"/>
    </row>
    <row r="139" spans="1:9" x14ac:dyDescent="0.35">
      <c r="A139" s="48">
        <v>137</v>
      </c>
      <c r="B139" s="59"/>
      <c r="C139" s="50">
        <f t="shared" si="4"/>
        <v>45914</v>
      </c>
      <c r="D139" s="44">
        <f t="shared" si="5"/>
        <v>0.50069444444444444</v>
      </c>
      <c r="E139" s="47"/>
      <c r="F139" s="64"/>
      <c r="G139" s="65"/>
      <c r="H139" s="12"/>
      <c r="I139" s="11"/>
    </row>
    <row r="140" spans="1:9" x14ac:dyDescent="0.35">
      <c r="A140" s="48">
        <v>138</v>
      </c>
      <c r="B140" s="59"/>
      <c r="C140" s="50">
        <f t="shared" si="4"/>
        <v>45915</v>
      </c>
      <c r="D140" s="44">
        <f t="shared" si="5"/>
        <v>0.50069444444444444</v>
      </c>
      <c r="E140" s="47"/>
      <c r="F140" s="64"/>
      <c r="G140" s="65"/>
      <c r="H140" s="12"/>
      <c r="I140" s="11"/>
    </row>
    <row r="141" spans="1:9" x14ac:dyDescent="0.35">
      <c r="A141" s="48">
        <v>139</v>
      </c>
      <c r="B141" s="59"/>
      <c r="C141" s="50">
        <f t="shared" si="4"/>
        <v>45916</v>
      </c>
      <c r="D141" s="44">
        <f t="shared" si="5"/>
        <v>0.50069444444444444</v>
      </c>
      <c r="E141" s="47"/>
      <c r="F141" s="64"/>
      <c r="G141" s="65"/>
      <c r="H141" s="12"/>
      <c r="I141" s="11"/>
    </row>
    <row r="142" spans="1:9" x14ac:dyDescent="0.35">
      <c r="A142" s="48">
        <v>140</v>
      </c>
      <c r="B142" s="59"/>
      <c r="C142" s="50">
        <f t="shared" si="4"/>
        <v>45917</v>
      </c>
      <c r="D142" s="44">
        <f t="shared" si="5"/>
        <v>0.50069444444444444</v>
      </c>
      <c r="E142" s="47"/>
      <c r="F142" s="64"/>
      <c r="G142" s="65"/>
      <c r="H142" s="12"/>
      <c r="I142" s="11"/>
    </row>
    <row r="143" spans="1:9" x14ac:dyDescent="0.35">
      <c r="A143" s="48">
        <v>141</v>
      </c>
      <c r="B143" s="59"/>
      <c r="C143" s="50">
        <f t="shared" si="4"/>
        <v>45918</v>
      </c>
      <c r="D143" s="44">
        <f t="shared" si="5"/>
        <v>0.50069444444444444</v>
      </c>
      <c r="E143" s="47"/>
      <c r="F143" s="64"/>
      <c r="G143" s="65"/>
      <c r="H143" s="12"/>
      <c r="I143" s="11"/>
    </row>
    <row r="144" spans="1:9" x14ac:dyDescent="0.35">
      <c r="A144" s="48">
        <v>142</v>
      </c>
      <c r="B144" s="59"/>
      <c r="C144" s="50">
        <f t="shared" si="4"/>
        <v>45919</v>
      </c>
      <c r="D144" s="44">
        <f t="shared" si="5"/>
        <v>0.50069444444444444</v>
      </c>
      <c r="E144" s="47"/>
      <c r="F144" s="64"/>
      <c r="G144" s="65"/>
      <c r="H144" s="12"/>
      <c r="I144" s="11"/>
    </row>
    <row r="145" spans="1:9" x14ac:dyDescent="0.35">
      <c r="A145" s="48">
        <v>143</v>
      </c>
      <c r="B145" s="59"/>
      <c r="C145" s="50">
        <f t="shared" si="4"/>
        <v>45920</v>
      </c>
      <c r="D145" s="44">
        <f t="shared" si="5"/>
        <v>0.50069444444444444</v>
      </c>
      <c r="E145" s="47"/>
      <c r="F145" s="64"/>
      <c r="G145" s="65"/>
      <c r="H145" s="12"/>
      <c r="I145" s="11"/>
    </row>
    <row r="146" spans="1:9" x14ac:dyDescent="0.35">
      <c r="A146" s="48">
        <v>144</v>
      </c>
      <c r="B146" s="59"/>
      <c r="C146" s="50">
        <f t="shared" si="4"/>
        <v>45921</v>
      </c>
      <c r="D146" s="44">
        <f t="shared" si="5"/>
        <v>0.50069444444444444</v>
      </c>
      <c r="E146" s="47"/>
      <c r="F146" s="64"/>
      <c r="G146" s="65"/>
      <c r="H146" s="12"/>
      <c r="I146" s="11"/>
    </row>
    <row r="147" spans="1:9" x14ac:dyDescent="0.35">
      <c r="A147" s="48">
        <v>145</v>
      </c>
      <c r="B147" s="59"/>
      <c r="C147" s="50">
        <f t="shared" si="4"/>
        <v>45922</v>
      </c>
      <c r="D147" s="44">
        <f t="shared" si="5"/>
        <v>0.50069444444444444</v>
      </c>
      <c r="E147" s="47"/>
      <c r="F147" s="64"/>
      <c r="G147" s="65"/>
      <c r="H147" s="12"/>
      <c r="I147" s="11"/>
    </row>
    <row r="148" spans="1:9" x14ac:dyDescent="0.35">
      <c r="A148" s="48">
        <v>146</v>
      </c>
      <c r="B148" s="59"/>
      <c r="C148" s="50">
        <f t="shared" si="4"/>
        <v>45923</v>
      </c>
      <c r="D148" s="44">
        <f t="shared" si="5"/>
        <v>0.50069444444444444</v>
      </c>
      <c r="E148" s="47"/>
      <c r="F148" s="64"/>
      <c r="G148" s="65"/>
      <c r="H148" s="12"/>
      <c r="I148" s="11"/>
    </row>
    <row r="149" spans="1:9" x14ac:dyDescent="0.35">
      <c r="A149" s="48">
        <v>147</v>
      </c>
      <c r="B149" s="59"/>
      <c r="C149" s="50">
        <f t="shared" si="4"/>
        <v>45924</v>
      </c>
      <c r="D149" s="44">
        <f t="shared" si="5"/>
        <v>0.50069444444444444</v>
      </c>
      <c r="E149" s="47"/>
      <c r="F149" s="64"/>
      <c r="G149" s="65"/>
      <c r="H149" s="12"/>
      <c r="I149" s="11"/>
    </row>
    <row r="150" spans="1:9" x14ac:dyDescent="0.35">
      <c r="A150" s="48">
        <v>148</v>
      </c>
      <c r="B150" s="59"/>
      <c r="C150" s="50">
        <f t="shared" si="4"/>
        <v>45925</v>
      </c>
      <c r="D150" s="44">
        <f t="shared" si="5"/>
        <v>0.50069444444444444</v>
      </c>
      <c r="E150" s="47"/>
      <c r="F150" s="64"/>
      <c r="G150" s="65"/>
      <c r="H150" s="12"/>
      <c r="I150" s="11"/>
    </row>
    <row r="151" spans="1:9" x14ac:dyDescent="0.35">
      <c r="A151" s="48">
        <v>149</v>
      </c>
      <c r="B151" s="59"/>
      <c r="C151" s="50">
        <f t="shared" si="4"/>
        <v>45926</v>
      </c>
      <c r="D151" s="44">
        <f t="shared" si="5"/>
        <v>0.50069444444444444</v>
      </c>
      <c r="E151" s="47"/>
      <c r="F151" s="64"/>
      <c r="G151" s="65"/>
      <c r="H151" s="12"/>
      <c r="I151" s="11"/>
    </row>
    <row r="152" spans="1:9" x14ac:dyDescent="0.35">
      <c r="A152" s="48">
        <v>150</v>
      </c>
      <c r="B152" s="59"/>
      <c r="C152" s="50">
        <f t="shared" si="4"/>
        <v>45927</v>
      </c>
      <c r="D152" s="44">
        <f t="shared" si="5"/>
        <v>0.50069444444444444</v>
      </c>
      <c r="E152" s="47"/>
      <c r="F152" s="64"/>
      <c r="G152" s="65"/>
      <c r="H152" s="12"/>
      <c r="I152" s="11"/>
    </row>
    <row r="153" spans="1:9" x14ac:dyDescent="0.35">
      <c r="A153" s="48">
        <v>151</v>
      </c>
      <c r="B153" s="59"/>
      <c r="C153" s="50">
        <f t="shared" si="4"/>
        <v>45928</v>
      </c>
      <c r="D153" s="44">
        <f t="shared" si="5"/>
        <v>0.50069444444444444</v>
      </c>
      <c r="E153" s="47"/>
      <c r="F153" s="64"/>
      <c r="G153" s="65"/>
      <c r="H153" s="12"/>
      <c r="I153" s="11"/>
    </row>
    <row r="154" spans="1:9" x14ac:dyDescent="0.35">
      <c r="A154" s="48">
        <v>152</v>
      </c>
      <c r="B154" s="59"/>
      <c r="C154" s="50">
        <f t="shared" si="4"/>
        <v>45929</v>
      </c>
      <c r="D154" s="44">
        <f t="shared" si="5"/>
        <v>0.50069444444444444</v>
      </c>
      <c r="E154" s="47"/>
      <c r="F154" s="64"/>
      <c r="G154" s="65"/>
      <c r="H154" s="12"/>
      <c r="I154" s="11"/>
    </row>
    <row r="155" spans="1:9" x14ac:dyDescent="0.35">
      <c r="A155" s="48">
        <v>153</v>
      </c>
      <c r="B155" s="59"/>
      <c r="C155" s="50">
        <f t="shared" si="4"/>
        <v>45930</v>
      </c>
      <c r="D155" s="44">
        <f t="shared" si="5"/>
        <v>0.50069444444444444</v>
      </c>
      <c r="E155" s="47"/>
      <c r="F155" s="64"/>
      <c r="G155" s="65"/>
      <c r="H155" s="12"/>
      <c r="I155" s="11"/>
    </row>
    <row r="156" spans="1:9" x14ac:dyDescent="0.35">
      <c r="A156" s="48">
        <v>154</v>
      </c>
      <c r="B156" s="59"/>
      <c r="C156" s="50">
        <f t="shared" si="4"/>
        <v>45931</v>
      </c>
      <c r="D156" s="44">
        <f t="shared" si="5"/>
        <v>0.50069444444444444</v>
      </c>
      <c r="E156" s="47"/>
      <c r="F156" s="64"/>
      <c r="G156" s="65"/>
      <c r="H156" s="12"/>
      <c r="I156" s="11"/>
    </row>
    <row r="157" spans="1:9" x14ac:dyDescent="0.35">
      <c r="A157" s="48">
        <v>155</v>
      </c>
      <c r="B157" s="59"/>
      <c r="C157" s="50">
        <f t="shared" si="4"/>
        <v>45932</v>
      </c>
      <c r="D157" s="44">
        <f t="shared" si="5"/>
        <v>0.50069444444444444</v>
      </c>
      <c r="E157" s="47"/>
      <c r="F157" s="64"/>
      <c r="G157" s="65"/>
      <c r="H157" s="12"/>
      <c r="I157" s="11"/>
    </row>
    <row r="158" spans="1:9" x14ac:dyDescent="0.35">
      <c r="A158" s="48">
        <v>156</v>
      </c>
      <c r="B158" s="59"/>
      <c r="C158" s="50">
        <f t="shared" si="4"/>
        <v>45933</v>
      </c>
      <c r="D158" s="44">
        <f t="shared" si="5"/>
        <v>0.50069444444444444</v>
      </c>
      <c r="E158" s="47"/>
      <c r="F158" s="64"/>
      <c r="G158" s="65"/>
      <c r="H158" s="12"/>
      <c r="I158" s="11"/>
    </row>
    <row r="159" spans="1:9" x14ac:dyDescent="0.35">
      <c r="A159" s="48">
        <v>157</v>
      </c>
      <c r="B159" s="59"/>
      <c r="C159" s="50">
        <f t="shared" si="4"/>
        <v>45934</v>
      </c>
      <c r="D159" s="44">
        <f t="shared" si="5"/>
        <v>0.50069444444444444</v>
      </c>
      <c r="E159" s="47"/>
      <c r="F159" s="64"/>
      <c r="G159" s="65"/>
      <c r="H159" s="12"/>
      <c r="I159" s="11"/>
    </row>
    <row r="160" spans="1:9" x14ac:dyDescent="0.35">
      <c r="A160" s="48">
        <v>158</v>
      </c>
      <c r="B160" s="59"/>
      <c r="C160" s="50">
        <f t="shared" si="4"/>
        <v>45935</v>
      </c>
      <c r="D160" s="44">
        <f t="shared" si="5"/>
        <v>0.50069444444444444</v>
      </c>
      <c r="E160" s="47"/>
      <c r="F160" s="64"/>
      <c r="G160" s="65"/>
      <c r="H160" s="12"/>
      <c r="I160" s="11"/>
    </row>
    <row r="161" spans="1:9" x14ac:dyDescent="0.35">
      <c r="A161" s="48">
        <v>159</v>
      </c>
      <c r="B161" s="59"/>
      <c r="C161" s="50">
        <f t="shared" si="4"/>
        <v>45936</v>
      </c>
      <c r="D161" s="44">
        <f t="shared" si="5"/>
        <v>0.50069444444444444</v>
      </c>
      <c r="E161" s="47"/>
      <c r="F161" s="64"/>
      <c r="G161" s="65"/>
      <c r="H161" s="12"/>
      <c r="I161" s="11"/>
    </row>
    <row r="162" spans="1:9" x14ac:dyDescent="0.35">
      <c r="A162" s="48">
        <v>160</v>
      </c>
      <c r="B162" s="59"/>
      <c r="C162" s="50">
        <f t="shared" ref="C162:C225" si="6">C161+1</f>
        <v>45937</v>
      </c>
      <c r="D162" s="44">
        <f t="shared" si="5"/>
        <v>0.50069444444444444</v>
      </c>
      <c r="E162" s="47"/>
      <c r="F162" s="64"/>
      <c r="G162" s="65"/>
      <c r="H162" s="12"/>
      <c r="I162" s="11"/>
    </row>
    <row r="163" spans="1:9" x14ac:dyDescent="0.35">
      <c r="A163" s="48">
        <v>161</v>
      </c>
      <c r="B163" s="59"/>
      <c r="C163" s="50">
        <f t="shared" si="6"/>
        <v>45938</v>
      </c>
      <c r="D163" s="44">
        <f t="shared" si="5"/>
        <v>0.50069444444444444</v>
      </c>
      <c r="E163" s="47"/>
      <c r="F163" s="64"/>
      <c r="G163" s="65"/>
      <c r="H163" s="12"/>
      <c r="I163" s="11"/>
    </row>
    <row r="164" spans="1:9" x14ac:dyDescent="0.35">
      <c r="A164" s="48">
        <v>162</v>
      </c>
      <c r="B164" s="59"/>
      <c r="C164" s="50">
        <f t="shared" si="6"/>
        <v>45939</v>
      </c>
      <c r="D164" s="44">
        <f t="shared" si="5"/>
        <v>0.50069444444444444</v>
      </c>
      <c r="E164" s="47"/>
      <c r="F164" s="64"/>
      <c r="G164" s="65"/>
      <c r="H164" s="12"/>
      <c r="I164" s="11"/>
    </row>
    <row r="165" spans="1:9" x14ac:dyDescent="0.35">
      <c r="A165" s="48">
        <v>163</v>
      </c>
      <c r="B165" s="59"/>
      <c r="C165" s="50">
        <f t="shared" si="6"/>
        <v>45940</v>
      </c>
      <c r="D165" s="44">
        <f t="shared" si="5"/>
        <v>0.50069444444444444</v>
      </c>
      <c r="E165" s="47"/>
      <c r="F165" s="64"/>
      <c r="G165" s="65"/>
      <c r="H165" s="12"/>
      <c r="I165" s="11"/>
    </row>
    <row r="166" spans="1:9" x14ac:dyDescent="0.35">
      <c r="A166" s="48">
        <v>164</v>
      </c>
      <c r="B166" s="59"/>
      <c r="C166" s="50">
        <f t="shared" si="6"/>
        <v>45941</v>
      </c>
      <c r="D166" s="44">
        <f t="shared" si="5"/>
        <v>0.50069444444444444</v>
      </c>
      <c r="E166" s="47"/>
      <c r="F166" s="64"/>
      <c r="G166" s="65"/>
      <c r="H166" s="12"/>
      <c r="I166" s="11"/>
    </row>
    <row r="167" spans="1:9" x14ac:dyDescent="0.35">
      <c r="A167" s="48">
        <v>165</v>
      </c>
      <c r="B167" s="59"/>
      <c r="C167" s="50">
        <f t="shared" si="6"/>
        <v>45942</v>
      </c>
      <c r="D167" s="44">
        <f t="shared" si="5"/>
        <v>0.50069444444444444</v>
      </c>
      <c r="E167" s="47"/>
      <c r="F167" s="64"/>
      <c r="G167" s="65"/>
      <c r="H167" s="12"/>
      <c r="I167" s="11"/>
    </row>
    <row r="168" spans="1:9" x14ac:dyDescent="0.35">
      <c r="A168" s="48">
        <v>166</v>
      </c>
      <c r="B168" s="59"/>
      <c r="C168" s="50">
        <f t="shared" si="6"/>
        <v>45943</v>
      </c>
      <c r="D168" s="44">
        <f t="shared" si="5"/>
        <v>0.50069444444444444</v>
      </c>
      <c r="E168" s="47"/>
      <c r="F168" s="64"/>
      <c r="G168" s="65"/>
      <c r="H168" s="12"/>
      <c r="I168" s="11"/>
    </row>
    <row r="169" spans="1:9" x14ac:dyDescent="0.35">
      <c r="A169" s="48">
        <v>167</v>
      </c>
      <c r="B169" s="59"/>
      <c r="C169" s="50">
        <f t="shared" si="6"/>
        <v>45944</v>
      </c>
      <c r="D169" s="44">
        <f t="shared" si="5"/>
        <v>0.50069444444444444</v>
      </c>
      <c r="E169" s="47"/>
      <c r="F169" s="64"/>
      <c r="G169" s="65"/>
      <c r="H169" s="12"/>
      <c r="I169" s="11"/>
    </row>
    <row r="170" spans="1:9" x14ac:dyDescent="0.35">
      <c r="A170" s="48">
        <v>168</v>
      </c>
      <c r="B170" s="59"/>
      <c r="C170" s="50">
        <f t="shared" si="6"/>
        <v>45945</v>
      </c>
      <c r="D170" s="44">
        <f t="shared" si="5"/>
        <v>0.50069444444444444</v>
      </c>
      <c r="E170" s="47"/>
      <c r="F170" s="64"/>
      <c r="G170" s="65"/>
      <c r="H170" s="12"/>
      <c r="I170" s="11"/>
    </row>
    <row r="171" spans="1:9" x14ac:dyDescent="0.35">
      <c r="A171" s="48">
        <v>169</v>
      </c>
      <c r="B171" s="59"/>
      <c r="C171" s="50">
        <f t="shared" si="6"/>
        <v>45946</v>
      </c>
      <c r="D171" s="44">
        <f t="shared" si="5"/>
        <v>0.50069444444444444</v>
      </c>
      <c r="E171" s="47"/>
      <c r="F171" s="64"/>
      <c r="G171" s="65"/>
      <c r="H171" s="12"/>
      <c r="I171" s="11"/>
    </row>
    <row r="172" spans="1:9" x14ac:dyDescent="0.35">
      <c r="A172" s="48">
        <v>170</v>
      </c>
      <c r="B172" s="59"/>
      <c r="C172" s="50">
        <f t="shared" si="6"/>
        <v>45947</v>
      </c>
      <c r="D172" s="44">
        <f t="shared" si="5"/>
        <v>0.50069444444444444</v>
      </c>
      <c r="E172" s="47"/>
      <c r="F172" s="64"/>
      <c r="G172" s="65"/>
      <c r="H172" s="12"/>
      <c r="I172" s="11"/>
    </row>
    <row r="173" spans="1:9" x14ac:dyDescent="0.35">
      <c r="A173" s="48">
        <v>171</v>
      </c>
      <c r="B173" s="59"/>
      <c r="C173" s="50">
        <f t="shared" si="6"/>
        <v>45948</v>
      </c>
      <c r="D173" s="44">
        <f t="shared" si="5"/>
        <v>0.50069444444444444</v>
      </c>
      <c r="E173" s="47"/>
      <c r="F173" s="64"/>
      <c r="G173" s="65"/>
      <c r="H173" s="12"/>
      <c r="I173" s="11"/>
    </row>
    <row r="174" spans="1:9" x14ac:dyDescent="0.35">
      <c r="A174" s="48">
        <v>172</v>
      </c>
      <c r="B174" s="59"/>
      <c r="C174" s="50">
        <f t="shared" si="6"/>
        <v>45949</v>
      </c>
      <c r="D174" s="44">
        <f t="shared" si="5"/>
        <v>0.50069444444444444</v>
      </c>
      <c r="E174" s="47"/>
      <c r="F174" s="64"/>
      <c r="G174" s="65"/>
      <c r="H174" s="12"/>
      <c r="I174" s="11"/>
    </row>
    <row r="175" spans="1:9" x14ac:dyDescent="0.35">
      <c r="A175" s="48">
        <v>173</v>
      </c>
      <c r="B175" s="59"/>
      <c r="C175" s="50">
        <f t="shared" si="6"/>
        <v>45950</v>
      </c>
      <c r="D175" s="44">
        <f t="shared" si="5"/>
        <v>0.50069444444444444</v>
      </c>
      <c r="E175" s="47"/>
      <c r="F175" s="64"/>
      <c r="G175" s="65"/>
      <c r="H175" s="12"/>
      <c r="I175" s="11"/>
    </row>
    <row r="176" spans="1:9" x14ac:dyDescent="0.35">
      <c r="A176" s="48">
        <v>174</v>
      </c>
      <c r="B176" s="59"/>
      <c r="C176" s="50">
        <f t="shared" si="6"/>
        <v>45951</v>
      </c>
      <c r="D176" s="44">
        <f t="shared" si="5"/>
        <v>0.50069444444444444</v>
      </c>
      <c r="E176" s="47"/>
      <c r="F176" s="64"/>
      <c r="G176" s="65"/>
      <c r="H176" s="12"/>
      <c r="I176" s="11"/>
    </row>
    <row r="177" spans="1:9" x14ac:dyDescent="0.35">
      <c r="A177" s="48">
        <v>175</v>
      </c>
      <c r="B177" s="59"/>
      <c r="C177" s="50">
        <f t="shared" si="6"/>
        <v>45952</v>
      </c>
      <c r="D177" s="44">
        <f t="shared" si="5"/>
        <v>0.50069444444444444</v>
      </c>
      <c r="E177" s="47"/>
      <c r="F177" s="64"/>
      <c r="G177" s="65"/>
      <c r="H177" s="12"/>
      <c r="I177" s="11"/>
    </row>
    <row r="178" spans="1:9" x14ac:dyDescent="0.35">
      <c r="A178" s="48">
        <v>176</v>
      </c>
      <c r="B178" s="59"/>
      <c r="C178" s="50">
        <f t="shared" si="6"/>
        <v>45953</v>
      </c>
      <c r="D178" s="44">
        <f t="shared" si="5"/>
        <v>0.50069444444444444</v>
      </c>
      <c r="E178" s="47"/>
      <c r="F178" s="64"/>
      <c r="G178" s="65"/>
      <c r="H178" s="12"/>
      <c r="I178" s="11"/>
    </row>
    <row r="179" spans="1:9" x14ac:dyDescent="0.35">
      <c r="A179" s="48">
        <v>177</v>
      </c>
      <c r="B179" s="59"/>
      <c r="C179" s="50">
        <f t="shared" si="6"/>
        <v>45954</v>
      </c>
      <c r="D179" s="44">
        <f t="shared" si="5"/>
        <v>0.50069444444444444</v>
      </c>
      <c r="E179" s="47"/>
      <c r="F179" s="64"/>
      <c r="G179" s="65"/>
      <c r="H179" s="12"/>
      <c r="I179" s="11"/>
    </row>
    <row r="180" spans="1:9" x14ac:dyDescent="0.35">
      <c r="A180" s="48">
        <v>178</v>
      </c>
      <c r="B180" s="59"/>
      <c r="C180" s="50">
        <f t="shared" si="6"/>
        <v>45955</v>
      </c>
      <c r="D180" s="44">
        <f t="shared" si="5"/>
        <v>0.50069444444444444</v>
      </c>
      <c r="E180" s="47"/>
      <c r="F180" s="64"/>
      <c r="G180" s="65"/>
      <c r="H180" s="12"/>
      <c r="I180" s="11"/>
    </row>
    <row r="181" spans="1:9" x14ac:dyDescent="0.35">
      <c r="A181" s="48">
        <v>179</v>
      </c>
      <c r="B181" s="59"/>
      <c r="C181" s="50">
        <f t="shared" si="6"/>
        <v>45956</v>
      </c>
      <c r="D181" s="44">
        <f t="shared" si="5"/>
        <v>0.50069444444444444</v>
      </c>
      <c r="E181" s="47"/>
      <c r="F181" s="64"/>
      <c r="G181" s="65"/>
      <c r="H181" s="12"/>
      <c r="I181" s="11"/>
    </row>
    <row r="182" spans="1:9" x14ac:dyDescent="0.35">
      <c r="A182" s="48">
        <v>180</v>
      </c>
      <c r="B182" s="59"/>
      <c r="C182" s="50">
        <f t="shared" si="6"/>
        <v>45957</v>
      </c>
      <c r="D182" s="44">
        <f t="shared" si="5"/>
        <v>0.50069444444444444</v>
      </c>
      <c r="E182" s="47"/>
      <c r="F182" s="64"/>
      <c r="G182" s="65"/>
      <c r="H182" s="12"/>
      <c r="I182" s="11"/>
    </row>
    <row r="183" spans="1:9" x14ac:dyDescent="0.35">
      <c r="A183" s="48">
        <v>181</v>
      </c>
      <c r="B183" s="59"/>
      <c r="C183" s="50">
        <f t="shared" si="6"/>
        <v>45958</v>
      </c>
      <c r="D183" s="44">
        <f t="shared" si="5"/>
        <v>0.50069444444444444</v>
      </c>
      <c r="E183" s="47"/>
      <c r="F183" s="64"/>
      <c r="G183" s="65"/>
      <c r="H183" s="12"/>
      <c r="I183" s="11"/>
    </row>
    <row r="184" spans="1:9" x14ac:dyDescent="0.35">
      <c r="A184" s="48">
        <v>182</v>
      </c>
      <c r="B184" s="59"/>
      <c r="C184" s="50">
        <f t="shared" si="6"/>
        <v>45959</v>
      </c>
      <c r="D184" s="44">
        <f t="shared" si="5"/>
        <v>0.50069444444444444</v>
      </c>
      <c r="E184" s="47"/>
      <c r="F184" s="64"/>
      <c r="G184" s="65"/>
      <c r="H184" s="12"/>
      <c r="I184" s="11"/>
    </row>
    <row r="185" spans="1:9" x14ac:dyDescent="0.35">
      <c r="A185" s="48">
        <v>183</v>
      </c>
      <c r="B185" s="59"/>
      <c r="C185" s="50">
        <f t="shared" si="6"/>
        <v>45960</v>
      </c>
      <c r="D185" s="44">
        <f t="shared" si="5"/>
        <v>0.50069444444444444</v>
      </c>
      <c r="E185" s="47"/>
      <c r="F185" s="64"/>
      <c r="G185" s="65"/>
      <c r="H185" s="12"/>
      <c r="I185" s="11"/>
    </row>
    <row r="186" spans="1:9" x14ac:dyDescent="0.35">
      <c r="A186" s="48">
        <v>184</v>
      </c>
      <c r="B186" s="59"/>
      <c r="C186" s="50">
        <f t="shared" si="6"/>
        <v>45961</v>
      </c>
      <c r="D186" s="44">
        <f t="shared" si="5"/>
        <v>0.50069444444444444</v>
      </c>
      <c r="E186" s="47"/>
      <c r="F186" s="64"/>
      <c r="G186" s="65"/>
      <c r="H186" s="12"/>
      <c r="I186" s="11"/>
    </row>
    <row r="187" spans="1:9" x14ac:dyDescent="0.35">
      <c r="A187" s="48">
        <v>185</v>
      </c>
      <c r="B187" s="59"/>
      <c r="C187" s="50">
        <f t="shared" si="6"/>
        <v>45962</v>
      </c>
      <c r="D187" s="44">
        <f t="shared" si="5"/>
        <v>0.50069444444444444</v>
      </c>
      <c r="E187" s="47"/>
      <c r="F187" s="64"/>
      <c r="G187" s="65"/>
      <c r="H187" s="12"/>
      <c r="I187" s="11"/>
    </row>
    <row r="188" spans="1:9" x14ac:dyDescent="0.35">
      <c r="A188" s="48">
        <v>186</v>
      </c>
      <c r="B188" s="59"/>
      <c r="C188" s="50">
        <f t="shared" si="6"/>
        <v>45963</v>
      </c>
      <c r="D188" s="44">
        <f t="shared" si="5"/>
        <v>0.50069444444444444</v>
      </c>
      <c r="E188" s="47"/>
      <c r="F188" s="64"/>
      <c r="G188" s="65"/>
      <c r="H188" s="12"/>
      <c r="I188" s="11"/>
    </row>
    <row r="189" spans="1:9" x14ac:dyDescent="0.35">
      <c r="A189" s="48">
        <v>187</v>
      </c>
      <c r="B189" s="59"/>
      <c r="C189" s="50">
        <f t="shared" si="6"/>
        <v>45964</v>
      </c>
      <c r="D189" s="44">
        <f t="shared" si="5"/>
        <v>0.50069444444444444</v>
      </c>
      <c r="E189" s="47"/>
      <c r="F189" s="64"/>
      <c r="G189" s="65"/>
      <c r="H189" s="12"/>
      <c r="I189" s="11"/>
    </row>
    <row r="190" spans="1:9" x14ac:dyDescent="0.35">
      <c r="A190" s="48">
        <v>188</v>
      </c>
      <c r="B190" s="59"/>
      <c r="C190" s="50">
        <f t="shared" si="6"/>
        <v>45965</v>
      </c>
      <c r="D190" s="44">
        <f t="shared" si="5"/>
        <v>0.50069444444444444</v>
      </c>
      <c r="E190" s="47"/>
      <c r="F190" s="64"/>
      <c r="G190" s="65"/>
      <c r="H190" s="12"/>
      <c r="I190" s="11"/>
    </row>
    <row r="191" spans="1:9" x14ac:dyDescent="0.35">
      <c r="A191" s="48">
        <v>189</v>
      </c>
      <c r="B191" s="59"/>
      <c r="C191" s="50">
        <f t="shared" si="6"/>
        <v>45966</v>
      </c>
      <c r="D191" s="44">
        <f t="shared" si="5"/>
        <v>0.50069444444444444</v>
      </c>
      <c r="E191" s="47"/>
      <c r="F191" s="64"/>
      <c r="G191" s="65"/>
      <c r="H191" s="12"/>
      <c r="I191" s="11"/>
    </row>
    <row r="192" spans="1:9" x14ac:dyDescent="0.35">
      <c r="A192" s="48">
        <v>190</v>
      </c>
      <c r="B192" s="59"/>
      <c r="C192" s="50">
        <f t="shared" si="6"/>
        <v>45967</v>
      </c>
      <c r="D192" s="44">
        <f t="shared" si="5"/>
        <v>0.50069444444444444</v>
      </c>
      <c r="E192" s="47"/>
      <c r="F192" s="64"/>
      <c r="G192" s="65"/>
      <c r="H192" s="12"/>
      <c r="I192" s="11"/>
    </row>
    <row r="193" spans="1:9" x14ac:dyDescent="0.35">
      <c r="A193" s="48">
        <v>191</v>
      </c>
      <c r="B193" s="59"/>
      <c r="C193" s="50">
        <f t="shared" si="6"/>
        <v>45968</v>
      </c>
      <c r="D193" s="44">
        <f t="shared" si="5"/>
        <v>0.50069444444444444</v>
      </c>
      <c r="E193" s="47"/>
      <c r="F193" s="64"/>
      <c r="G193" s="65"/>
      <c r="H193" s="12"/>
      <c r="I193" s="11"/>
    </row>
    <row r="194" spans="1:9" x14ac:dyDescent="0.35">
      <c r="A194" s="48">
        <v>192</v>
      </c>
      <c r="B194" s="59"/>
      <c r="C194" s="50">
        <f t="shared" si="6"/>
        <v>45969</v>
      </c>
      <c r="D194" s="44">
        <f t="shared" si="5"/>
        <v>0.50069444444444444</v>
      </c>
      <c r="E194" s="47"/>
      <c r="F194" s="64"/>
      <c r="G194" s="65"/>
      <c r="H194" s="12"/>
      <c r="I194" s="11"/>
    </row>
    <row r="195" spans="1:9" x14ac:dyDescent="0.35">
      <c r="A195" s="48">
        <v>193</v>
      </c>
      <c r="B195" s="59"/>
      <c r="C195" s="50">
        <f t="shared" si="6"/>
        <v>45970</v>
      </c>
      <c r="D195" s="44">
        <f t="shared" si="5"/>
        <v>0.50069444444444444</v>
      </c>
      <c r="E195" s="47"/>
      <c r="F195" s="64"/>
      <c r="G195" s="65"/>
      <c r="H195" s="12"/>
      <c r="I195" s="11"/>
    </row>
    <row r="196" spans="1:9" x14ac:dyDescent="0.35">
      <c r="A196" s="48">
        <v>194</v>
      </c>
      <c r="B196" s="59"/>
      <c r="C196" s="50">
        <f t="shared" si="6"/>
        <v>45971</v>
      </c>
      <c r="D196" s="44">
        <f t="shared" si="5"/>
        <v>0.50069444444444444</v>
      </c>
      <c r="E196" s="47"/>
      <c r="F196" s="64"/>
      <c r="G196" s="65"/>
      <c r="H196" s="12"/>
      <c r="I196" s="11"/>
    </row>
    <row r="197" spans="1:9" x14ac:dyDescent="0.35">
      <c r="A197" s="48">
        <v>195</v>
      </c>
      <c r="B197" s="59"/>
      <c r="C197" s="50">
        <f t="shared" si="6"/>
        <v>45972</v>
      </c>
      <c r="D197" s="44">
        <f t="shared" ref="D197:D247" si="7">TIME(12, 1, 0)</f>
        <v>0.50069444444444444</v>
      </c>
      <c r="E197" s="47"/>
      <c r="F197" s="64"/>
      <c r="G197" s="65"/>
      <c r="H197" s="12"/>
      <c r="I197" s="11"/>
    </row>
    <row r="198" spans="1:9" x14ac:dyDescent="0.35">
      <c r="A198" s="48">
        <v>196</v>
      </c>
      <c r="B198" s="59"/>
      <c r="C198" s="50">
        <f t="shared" si="6"/>
        <v>45973</v>
      </c>
      <c r="D198" s="44">
        <f t="shared" si="7"/>
        <v>0.50069444444444444</v>
      </c>
      <c r="E198" s="47"/>
      <c r="F198" s="64"/>
      <c r="G198" s="65"/>
      <c r="H198" s="12"/>
      <c r="I198" s="11"/>
    </row>
    <row r="199" spans="1:9" x14ac:dyDescent="0.35">
      <c r="A199" s="48">
        <v>197</v>
      </c>
      <c r="B199" s="59"/>
      <c r="C199" s="50">
        <f t="shared" si="6"/>
        <v>45974</v>
      </c>
      <c r="D199" s="44">
        <f t="shared" si="7"/>
        <v>0.50069444444444444</v>
      </c>
      <c r="E199" s="47"/>
      <c r="F199" s="64"/>
      <c r="G199" s="65"/>
      <c r="H199" s="12"/>
      <c r="I199" s="11"/>
    </row>
    <row r="200" spans="1:9" x14ac:dyDescent="0.35">
      <c r="A200" s="48">
        <v>198</v>
      </c>
      <c r="B200" s="59"/>
      <c r="C200" s="50">
        <f t="shared" si="6"/>
        <v>45975</v>
      </c>
      <c r="D200" s="44">
        <f t="shared" si="7"/>
        <v>0.50069444444444444</v>
      </c>
      <c r="E200" s="47"/>
      <c r="F200" s="64"/>
      <c r="G200" s="65"/>
      <c r="H200" s="12"/>
      <c r="I200" s="11"/>
    </row>
    <row r="201" spans="1:9" x14ac:dyDescent="0.35">
      <c r="A201" s="48">
        <v>199</v>
      </c>
      <c r="B201" s="59"/>
      <c r="C201" s="50">
        <f t="shared" si="6"/>
        <v>45976</v>
      </c>
      <c r="D201" s="44">
        <f t="shared" si="7"/>
        <v>0.50069444444444444</v>
      </c>
      <c r="E201" s="47"/>
      <c r="F201" s="64"/>
      <c r="G201" s="65"/>
      <c r="H201" s="12"/>
      <c r="I201" s="11"/>
    </row>
    <row r="202" spans="1:9" x14ac:dyDescent="0.35">
      <c r="A202" s="48">
        <v>200</v>
      </c>
      <c r="B202" s="59"/>
      <c r="C202" s="50">
        <f t="shared" si="6"/>
        <v>45977</v>
      </c>
      <c r="D202" s="44">
        <f t="shared" si="7"/>
        <v>0.50069444444444444</v>
      </c>
      <c r="E202" s="47"/>
      <c r="F202" s="64"/>
      <c r="G202" s="65"/>
      <c r="H202" s="12"/>
      <c r="I202" s="11"/>
    </row>
    <row r="203" spans="1:9" x14ac:dyDescent="0.35">
      <c r="A203" s="48">
        <v>201</v>
      </c>
      <c r="B203" s="59"/>
      <c r="C203" s="50">
        <f t="shared" si="6"/>
        <v>45978</v>
      </c>
      <c r="D203" s="44">
        <f t="shared" si="7"/>
        <v>0.50069444444444444</v>
      </c>
      <c r="E203" s="47"/>
      <c r="F203" s="64"/>
      <c r="G203" s="65"/>
      <c r="H203" s="12"/>
      <c r="I203" s="11"/>
    </row>
    <row r="204" spans="1:9" x14ac:dyDescent="0.35">
      <c r="A204" s="48">
        <v>202</v>
      </c>
      <c r="B204" s="59"/>
      <c r="C204" s="50">
        <f t="shared" si="6"/>
        <v>45979</v>
      </c>
      <c r="D204" s="44">
        <f t="shared" si="7"/>
        <v>0.50069444444444444</v>
      </c>
      <c r="E204" s="47"/>
      <c r="F204" s="64"/>
      <c r="G204" s="65"/>
      <c r="H204" s="12"/>
      <c r="I204" s="11"/>
    </row>
    <row r="205" spans="1:9" x14ac:dyDescent="0.35">
      <c r="A205" s="48">
        <v>203</v>
      </c>
      <c r="B205" s="59"/>
      <c r="C205" s="50">
        <f t="shared" si="6"/>
        <v>45980</v>
      </c>
      <c r="D205" s="44">
        <f t="shared" si="7"/>
        <v>0.50069444444444444</v>
      </c>
      <c r="E205" s="47"/>
      <c r="F205" s="64"/>
      <c r="G205" s="65"/>
      <c r="H205" s="12"/>
      <c r="I205" s="11"/>
    </row>
    <row r="206" spans="1:9" x14ac:dyDescent="0.35">
      <c r="A206" s="48">
        <v>204</v>
      </c>
      <c r="B206" s="59"/>
      <c r="C206" s="50">
        <f t="shared" si="6"/>
        <v>45981</v>
      </c>
      <c r="D206" s="44">
        <f t="shared" si="7"/>
        <v>0.50069444444444444</v>
      </c>
      <c r="E206" s="47"/>
      <c r="F206" s="64"/>
      <c r="G206" s="65"/>
      <c r="H206" s="12"/>
      <c r="I206" s="11"/>
    </row>
    <row r="207" spans="1:9" x14ac:dyDescent="0.35">
      <c r="A207" s="48">
        <v>205</v>
      </c>
      <c r="B207" s="59"/>
      <c r="C207" s="50">
        <f t="shared" si="6"/>
        <v>45982</v>
      </c>
      <c r="D207" s="44">
        <f t="shared" si="7"/>
        <v>0.50069444444444444</v>
      </c>
      <c r="E207" s="47"/>
      <c r="F207" s="64"/>
      <c r="G207" s="65"/>
      <c r="H207" s="12"/>
      <c r="I207" s="11"/>
    </row>
    <row r="208" spans="1:9" x14ac:dyDescent="0.35">
      <c r="A208" s="48">
        <v>206</v>
      </c>
      <c r="B208" s="59"/>
      <c r="C208" s="50">
        <f t="shared" si="6"/>
        <v>45983</v>
      </c>
      <c r="D208" s="44">
        <f t="shared" si="7"/>
        <v>0.50069444444444444</v>
      </c>
      <c r="E208" s="47"/>
      <c r="F208" s="64"/>
      <c r="G208" s="65"/>
      <c r="H208" s="12"/>
      <c r="I208" s="11"/>
    </row>
    <row r="209" spans="1:9" x14ac:dyDescent="0.35">
      <c r="A209" s="48">
        <v>207</v>
      </c>
      <c r="B209" s="59"/>
      <c r="C209" s="50">
        <f t="shared" si="6"/>
        <v>45984</v>
      </c>
      <c r="D209" s="44">
        <f t="shared" si="7"/>
        <v>0.50069444444444444</v>
      </c>
      <c r="E209" s="47"/>
      <c r="F209" s="64"/>
      <c r="G209" s="65"/>
      <c r="H209" s="12"/>
      <c r="I209" s="11"/>
    </row>
    <row r="210" spans="1:9" x14ac:dyDescent="0.35">
      <c r="A210" s="48">
        <v>208</v>
      </c>
      <c r="B210" s="59"/>
      <c r="C210" s="50">
        <f t="shared" si="6"/>
        <v>45985</v>
      </c>
      <c r="D210" s="44">
        <f t="shared" si="7"/>
        <v>0.50069444444444444</v>
      </c>
      <c r="E210" s="47"/>
      <c r="F210" s="64"/>
      <c r="G210" s="65"/>
      <c r="H210" s="12"/>
      <c r="I210" s="11"/>
    </row>
    <row r="211" spans="1:9" x14ac:dyDescent="0.35">
      <c r="A211" s="48">
        <v>209</v>
      </c>
      <c r="B211" s="59"/>
      <c r="C211" s="50">
        <f t="shared" si="6"/>
        <v>45986</v>
      </c>
      <c r="D211" s="44">
        <f t="shared" si="7"/>
        <v>0.50069444444444444</v>
      </c>
      <c r="E211" s="47"/>
      <c r="F211" s="64"/>
      <c r="G211" s="65"/>
      <c r="H211" s="12"/>
      <c r="I211" s="11"/>
    </row>
    <row r="212" spans="1:9" x14ac:dyDescent="0.35">
      <c r="A212" s="48">
        <v>210</v>
      </c>
      <c r="B212" s="59"/>
      <c r="C212" s="50">
        <f t="shared" si="6"/>
        <v>45987</v>
      </c>
      <c r="D212" s="44">
        <f t="shared" si="7"/>
        <v>0.50069444444444444</v>
      </c>
      <c r="E212" s="47"/>
      <c r="F212" s="64"/>
      <c r="G212" s="65"/>
      <c r="H212" s="12"/>
      <c r="I212" s="11"/>
    </row>
    <row r="213" spans="1:9" x14ac:dyDescent="0.35">
      <c r="A213" s="48">
        <v>211</v>
      </c>
      <c r="B213" s="59"/>
      <c r="C213" s="50">
        <f t="shared" si="6"/>
        <v>45988</v>
      </c>
      <c r="D213" s="44">
        <f t="shared" si="7"/>
        <v>0.50069444444444444</v>
      </c>
      <c r="E213" s="47"/>
      <c r="F213" s="64"/>
      <c r="G213" s="65"/>
      <c r="H213" s="12"/>
      <c r="I213" s="11"/>
    </row>
    <row r="214" spans="1:9" x14ac:dyDescent="0.35">
      <c r="A214" s="48">
        <v>212</v>
      </c>
      <c r="B214" s="59"/>
      <c r="C214" s="50">
        <f t="shared" si="6"/>
        <v>45989</v>
      </c>
      <c r="D214" s="44">
        <f t="shared" si="7"/>
        <v>0.50069444444444444</v>
      </c>
      <c r="E214" s="47"/>
      <c r="F214" s="64"/>
      <c r="G214" s="65"/>
      <c r="H214" s="12"/>
      <c r="I214" s="11"/>
    </row>
    <row r="215" spans="1:9" x14ac:dyDescent="0.35">
      <c r="A215" s="48">
        <v>213</v>
      </c>
      <c r="B215" s="59"/>
      <c r="C215" s="50">
        <f t="shared" si="6"/>
        <v>45990</v>
      </c>
      <c r="D215" s="44">
        <f t="shared" si="7"/>
        <v>0.50069444444444444</v>
      </c>
      <c r="E215" s="47"/>
      <c r="F215" s="64"/>
      <c r="G215" s="65"/>
      <c r="H215" s="12"/>
      <c r="I215" s="11"/>
    </row>
    <row r="216" spans="1:9" x14ac:dyDescent="0.35">
      <c r="A216" s="48">
        <v>214</v>
      </c>
      <c r="B216" s="59"/>
      <c r="C216" s="50">
        <f t="shared" si="6"/>
        <v>45991</v>
      </c>
      <c r="D216" s="44">
        <f t="shared" si="7"/>
        <v>0.50069444444444444</v>
      </c>
      <c r="E216" s="47"/>
      <c r="F216" s="64"/>
      <c r="G216" s="65"/>
      <c r="H216" s="12"/>
      <c r="I216" s="11"/>
    </row>
    <row r="217" spans="1:9" x14ac:dyDescent="0.35">
      <c r="A217" s="48">
        <v>215</v>
      </c>
      <c r="B217" s="59"/>
      <c r="C217" s="50">
        <f t="shared" si="6"/>
        <v>45992</v>
      </c>
      <c r="D217" s="44">
        <f t="shared" si="7"/>
        <v>0.50069444444444444</v>
      </c>
      <c r="E217" s="47"/>
      <c r="F217" s="64"/>
      <c r="G217" s="65"/>
      <c r="H217" s="12"/>
      <c r="I217" s="11"/>
    </row>
    <row r="218" spans="1:9" x14ac:dyDescent="0.35">
      <c r="A218" s="48">
        <v>216</v>
      </c>
      <c r="B218" s="59"/>
      <c r="C218" s="50">
        <f t="shared" si="6"/>
        <v>45993</v>
      </c>
      <c r="D218" s="44">
        <f t="shared" si="7"/>
        <v>0.50069444444444444</v>
      </c>
      <c r="E218" s="47"/>
      <c r="F218" s="64"/>
      <c r="G218" s="65"/>
      <c r="H218" s="12"/>
      <c r="I218" s="11"/>
    </row>
    <row r="219" spans="1:9" x14ac:dyDescent="0.35">
      <c r="A219" s="48">
        <v>217</v>
      </c>
      <c r="B219" s="59"/>
      <c r="C219" s="50">
        <f t="shared" si="6"/>
        <v>45994</v>
      </c>
      <c r="D219" s="44">
        <f t="shared" si="7"/>
        <v>0.50069444444444444</v>
      </c>
      <c r="E219" s="47"/>
      <c r="F219" s="64"/>
      <c r="G219" s="65"/>
      <c r="H219" s="12"/>
      <c r="I219" s="11"/>
    </row>
    <row r="220" spans="1:9" x14ac:dyDescent="0.35">
      <c r="A220" s="48">
        <v>218</v>
      </c>
      <c r="B220" s="59"/>
      <c r="C220" s="50">
        <f t="shared" si="6"/>
        <v>45995</v>
      </c>
      <c r="D220" s="44">
        <f t="shared" si="7"/>
        <v>0.50069444444444444</v>
      </c>
      <c r="E220" s="47"/>
      <c r="F220" s="64"/>
      <c r="G220" s="65"/>
      <c r="H220" s="12"/>
      <c r="I220" s="11"/>
    </row>
    <row r="221" spans="1:9" x14ac:dyDescent="0.35">
      <c r="A221" s="48">
        <v>219</v>
      </c>
      <c r="B221" s="59"/>
      <c r="C221" s="50">
        <f t="shared" si="6"/>
        <v>45996</v>
      </c>
      <c r="D221" s="44">
        <f t="shared" si="7"/>
        <v>0.50069444444444444</v>
      </c>
      <c r="E221" s="47"/>
      <c r="F221" s="64"/>
      <c r="G221" s="65"/>
      <c r="H221" s="12"/>
      <c r="I221" s="11"/>
    </row>
    <row r="222" spans="1:9" x14ac:dyDescent="0.35">
      <c r="A222" s="48">
        <v>220</v>
      </c>
      <c r="B222" s="59"/>
      <c r="C222" s="50">
        <f t="shared" si="6"/>
        <v>45997</v>
      </c>
      <c r="D222" s="44">
        <f t="shared" si="7"/>
        <v>0.50069444444444444</v>
      </c>
      <c r="E222" s="47"/>
      <c r="F222" s="64"/>
      <c r="G222" s="65"/>
      <c r="H222" s="12"/>
      <c r="I222" s="11"/>
    </row>
    <row r="223" spans="1:9" x14ac:dyDescent="0.35">
      <c r="A223" s="48">
        <v>221</v>
      </c>
      <c r="B223" s="59"/>
      <c r="C223" s="50">
        <f t="shared" si="6"/>
        <v>45998</v>
      </c>
      <c r="D223" s="44">
        <f t="shared" si="7"/>
        <v>0.50069444444444444</v>
      </c>
      <c r="E223" s="47"/>
      <c r="F223" s="64"/>
      <c r="G223" s="65"/>
      <c r="H223" s="12"/>
      <c r="I223" s="11"/>
    </row>
    <row r="224" spans="1:9" x14ac:dyDescent="0.35">
      <c r="A224" s="48">
        <v>222</v>
      </c>
      <c r="B224" s="59"/>
      <c r="C224" s="50">
        <f t="shared" si="6"/>
        <v>45999</v>
      </c>
      <c r="D224" s="44">
        <f t="shared" si="7"/>
        <v>0.50069444444444444</v>
      </c>
      <c r="E224" s="47"/>
      <c r="F224" s="64"/>
      <c r="G224" s="65"/>
      <c r="H224" s="12"/>
      <c r="I224" s="11"/>
    </row>
    <row r="225" spans="1:9" x14ac:dyDescent="0.35">
      <c r="A225" s="48">
        <v>223</v>
      </c>
      <c r="B225" s="59"/>
      <c r="C225" s="50">
        <f t="shared" si="6"/>
        <v>46000</v>
      </c>
      <c r="D225" s="44">
        <f t="shared" si="7"/>
        <v>0.50069444444444444</v>
      </c>
      <c r="E225" s="47"/>
      <c r="F225" s="64"/>
      <c r="G225" s="65"/>
      <c r="H225" s="12"/>
      <c r="I225" s="11"/>
    </row>
    <row r="226" spans="1:9" x14ac:dyDescent="0.35">
      <c r="A226" s="48">
        <v>224</v>
      </c>
      <c r="B226" s="59"/>
      <c r="C226" s="50">
        <f t="shared" ref="C226:C247" si="8">C225+1</f>
        <v>46001</v>
      </c>
      <c r="D226" s="44">
        <f t="shared" si="7"/>
        <v>0.50069444444444444</v>
      </c>
      <c r="E226" s="47"/>
      <c r="F226" s="64"/>
      <c r="G226" s="65"/>
      <c r="H226" s="12"/>
      <c r="I226" s="11"/>
    </row>
    <row r="227" spans="1:9" x14ac:dyDescent="0.35">
      <c r="A227" s="48">
        <v>225</v>
      </c>
      <c r="B227" s="59"/>
      <c r="C227" s="50">
        <f t="shared" si="8"/>
        <v>46002</v>
      </c>
      <c r="D227" s="44">
        <f t="shared" si="7"/>
        <v>0.50069444444444444</v>
      </c>
      <c r="E227" s="47"/>
      <c r="F227" s="64"/>
      <c r="G227" s="65"/>
      <c r="H227" s="12"/>
      <c r="I227" s="11"/>
    </row>
    <row r="228" spans="1:9" x14ac:dyDescent="0.35">
      <c r="A228" s="48">
        <v>226</v>
      </c>
      <c r="B228" s="59"/>
      <c r="C228" s="50">
        <f t="shared" si="8"/>
        <v>46003</v>
      </c>
      <c r="D228" s="44">
        <f t="shared" si="7"/>
        <v>0.50069444444444444</v>
      </c>
      <c r="E228" s="47"/>
      <c r="F228" s="64"/>
      <c r="G228" s="65"/>
      <c r="H228" s="12"/>
      <c r="I228" s="11"/>
    </row>
    <row r="229" spans="1:9" x14ac:dyDescent="0.35">
      <c r="A229" s="48">
        <v>227</v>
      </c>
      <c r="B229" s="59"/>
      <c r="C229" s="50">
        <f t="shared" si="8"/>
        <v>46004</v>
      </c>
      <c r="D229" s="44">
        <f t="shared" si="7"/>
        <v>0.50069444444444444</v>
      </c>
      <c r="E229" s="47"/>
      <c r="F229" s="64"/>
      <c r="G229" s="65"/>
      <c r="H229" s="12"/>
      <c r="I229" s="11"/>
    </row>
    <row r="230" spans="1:9" x14ac:dyDescent="0.35">
      <c r="A230" s="48">
        <v>228</v>
      </c>
      <c r="B230" s="59"/>
      <c r="C230" s="50">
        <f t="shared" si="8"/>
        <v>46005</v>
      </c>
      <c r="D230" s="44">
        <f t="shared" si="7"/>
        <v>0.50069444444444444</v>
      </c>
      <c r="E230" s="47"/>
      <c r="F230" s="64"/>
      <c r="G230" s="65"/>
      <c r="H230" s="12"/>
      <c r="I230" s="11"/>
    </row>
    <row r="231" spans="1:9" x14ac:dyDescent="0.35">
      <c r="A231" s="48">
        <v>229</v>
      </c>
      <c r="B231" s="59"/>
      <c r="C231" s="50">
        <f t="shared" si="8"/>
        <v>46006</v>
      </c>
      <c r="D231" s="44">
        <f t="shared" si="7"/>
        <v>0.50069444444444444</v>
      </c>
      <c r="E231" s="47"/>
      <c r="F231" s="64"/>
      <c r="G231" s="65"/>
      <c r="H231" s="12"/>
      <c r="I231" s="11"/>
    </row>
    <row r="232" spans="1:9" x14ac:dyDescent="0.35">
      <c r="A232" s="48">
        <v>230</v>
      </c>
      <c r="B232" s="59"/>
      <c r="C232" s="50">
        <f t="shared" si="8"/>
        <v>46007</v>
      </c>
      <c r="D232" s="44">
        <f t="shared" si="7"/>
        <v>0.50069444444444444</v>
      </c>
      <c r="E232" s="47"/>
      <c r="F232" s="64"/>
      <c r="G232" s="65"/>
      <c r="H232" s="12"/>
      <c r="I232" s="11"/>
    </row>
    <row r="233" spans="1:9" x14ac:dyDescent="0.35">
      <c r="A233" s="48">
        <v>231</v>
      </c>
      <c r="B233" s="59"/>
      <c r="C233" s="50">
        <f t="shared" si="8"/>
        <v>46008</v>
      </c>
      <c r="D233" s="44">
        <f t="shared" si="7"/>
        <v>0.50069444444444444</v>
      </c>
      <c r="E233" s="47"/>
      <c r="F233" s="64"/>
      <c r="G233" s="65"/>
      <c r="H233" s="12"/>
      <c r="I233" s="11"/>
    </row>
    <row r="234" spans="1:9" x14ac:dyDescent="0.35">
      <c r="A234" s="48">
        <v>232</v>
      </c>
      <c r="B234" s="59"/>
      <c r="C234" s="50">
        <f t="shared" si="8"/>
        <v>46009</v>
      </c>
      <c r="D234" s="44">
        <f t="shared" si="7"/>
        <v>0.50069444444444444</v>
      </c>
      <c r="E234" s="47"/>
      <c r="F234" s="64"/>
      <c r="G234" s="65"/>
      <c r="H234" s="12"/>
      <c r="I234" s="11"/>
    </row>
    <row r="235" spans="1:9" x14ac:dyDescent="0.35">
      <c r="A235" s="48">
        <v>233</v>
      </c>
      <c r="B235" s="59"/>
      <c r="C235" s="50">
        <f t="shared" si="8"/>
        <v>46010</v>
      </c>
      <c r="D235" s="44">
        <f t="shared" si="7"/>
        <v>0.50069444444444444</v>
      </c>
      <c r="E235" s="47"/>
      <c r="F235" s="64"/>
      <c r="G235" s="65"/>
      <c r="H235" s="12"/>
      <c r="I235" s="11"/>
    </row>
    <row r="236" spans="1:9" x14ac:dyDescent="0.35">
      <c r="A236" s="48">
        <v>234</v>
      </c>
      <c r="B236" s="59"/>
      <c r="C236" s="50">
        <f t="shared" si="8"/>
        <v>46011</v>
      </c>
      <c r="D236" s="44">
        <f t="shared" si="7"/>
        <v>0.50069444444444444</v>
      </c>
      <c r="E236" s="47"/>
      <c r="F236" s="64"/>
      <c r="G236" s="65"/>
      <c r="H236" s="12"/>
      <c r="I236" s="11"/>
    </row>
    <row r="237" spans="1:9" x14ac:dyDescent="0.35">
      <c r="A237" s="48">
        <v>235</v>
      </c>
      <c r="B237" s="59"/>
      <c r="C237" s="50">
        <f t="shared" si="8"/>
        <v>46012</v>
      </c>
      <c r="D237" s="44">
        <f t="shared" si="7"/>
        <v>0.50069444444444444</v>
      </c>
      <c r="E237" s="47"/>
      <c r="F237" s="64"/>
      <c r="G237" s="65"/>
      <c r="H237" s="12"/>
      <c r="I237" s="11"/>
    </row>
    <row r="238" spans="1:9" x14ac:dyDescent="0.35">
      <c r="A238" s="48">
        <v>236</v>
      </c>
      <c r="B238" s="59"/>
      <c r="C238" s="50">
        <f t="shared" si="8"/>
        <v>46013</v>
      </c>
      <c r="D238" s="44">
        <f t="shared" si="7"/>
        <v>0.50069444444444444</v>
      </c>
      <c r="E238" s="47"/>
      <c r="F238" s="64"/>
      <c r="G238" s="65"/>
      <c r="H238" s="12"/>
      <c r="I238" s="11"/>
    </row>
    <row r="239" spans="1:9" x14ac:dyDescent="0.35">
      <c r="A239" s="48">
        <v>237</v>
      </c>
      <c r="B239" s="59"/>
      <c r="C239" s="50">
        <f t="shared" si="8"/>
        <v>46014</v>
      </c>
      <c r="D239" s="44">
        <f t="shared" si="7"/>
        <v>0.50069444444444444</v>
      </c>
      <c r="E239" s="47"/>
      <c r="F239" s="64"/>
      <c r="G239" s="65"/>
      <c r="H239" s="12"/>
      <c r="I239" s="11"/>
    </row>
    <row r="240" spans="1:9" x14ac:dyDescent="0.35">
      <c r="A240" s="48">
        <v>238</v>
      </c>
      <c r="B240" s="59"/>
      <c r="C240" s="50">
        <f t="shared" si="8"/>
        <v>46015</v>
      </c>
      <c r="D240" s="44">
        <f t="shared" si="7"/>
        <v>0.50069444444444444</v>
      </c>
      <c r="E240" s="47"/>
      <c r="F240" s="64"/>
      <c r="G240" s="65"/>
      <c r="H240" s="12"/>
      <c r="I240" s="11"/>
    </row>
    <row r="241" spans="1:9" x14ac:dyDescent="0.35">
      <c r="A241" s="48">
        <v>239</v>
      </c>
      <c r="B241" s="59"/>
      <c r="C241" s="50">
        <f t="shared" si="8"/>
        <v>46016</v>
      </c>
      <c r="D241" s="44">
        <f t="shared" si="7"/>
        <v>0.50069444444444444</v>
      </c>
      <c r="E241" s="47"/>
      <c r="F241" s="64"/>
      <c r="G241" s="65"/>
      <c r="H241" s="12"/>
      <c r="I241" s="11"/>
    </row>
    <row r="242" spans="1:9" x14ac:dyDescent="0.35">
      <c r="A242" s="48">
        <v>240</v>
      </c>
      <c r="B242" s="59"/>
      <c r="C242" s="50">
        <f t="shared" si="8"/>
        <v>46017</v>
      </c>
      <c r="D242" s="44">
        <f t="shared" si="7"/>
        <v>0.50069444444444444</v>
      </c>
      <c r="E242" s="47"/>
      <c r="F242" s="64"/>
      <c r="G242" s="65"/>
      <c r="H242" s="12"/>
      <c r="I242" s="11"/>
    </row>
    <row r="243" spans="1:9" x14ac:dyDescent="0.35">
      <c r="A243" s="48">
        <v>241</v>
      </c>
      <c r="B243" s="59"/>
      <c r="C243" s="50">
        <f t="shared" si="8"/>
        <v>46018</v>
      </c>
      <c r="D243" s="44">
        <f t="shared" si="7"/>
        <v>0.50069444444444444</v>
      </c>
      <c r="E243" s="47"/>
      <c r="F243" s="64"/>
      <c r="G243" s="65"/>
      <c r="H243" s="12"/>
      <c r="I243" s="11"/>
    </row>
    <row r="244" spans="1:9" x14ac:dyDescent="0.35">
      <c r="A244" s="48">
        <v>242</v>
      </c>
      <c r="B244" s="59"/>
      <c r="C244" s="50">
        <f t="shared" si="8"/>
        <v>46019</v>
      </c>
      <c r="D244" s="44">
        <f t="shared" si="7"/>
        <v>0.50069444444444444</v>
      </c>
      <c r="E244" s="47"/>
      <c r="F244" s="64"/>
      <c r="G244" s="65"/>
      <c r="H244" s="12"/>
      <c r="I244" s="11"/>
    </row>
    <row r="245" spans="1:9" x14ac:dyDescent="0.35">
      <c r="A245" s="48">
        <v>243</v>
      </c>
      <c r="B245" s="59"/>
      <c r="C245" s="50">
        <f t="shared" si="8"/>
        <v>46020</v>
      </c>
      <c r="D245" s="44">
        <f t="shared" si="7"/>
        <v>0.50069444444444444</v>
      </c>
      <c r="E245" s="47"/>
      <c r="F245" s="64"/>
      <c r="G245" s="65"/>
      <c r="H245" s="12"/>
      <c r="I245" s="11"/>
    </row>
    <row r="246" spans="1:9" x14ac:dyDescent="0.35">
      <c r="A246" s="48">
        <v>244</v>
      </c>
      <c r="B246" s="59"/>
      <c r="C246" s="50">
        <f t="shared" si="8"/>
        <v>46021</v>
      </c>
      <c r="D246" s="44">
        <f t="shared" si="7"/>
        <v>0.50069444444444444</v>
      </c>
      <c r="E246" s="47"/>
      <c r="F246" s="64"/>
      <c r="G246" s="65"/>
      <c r="H246" s="12"/>
      <c r="I246" s="11"/>
    </row>
    <row r="247" spans="1:9" x14ac:dyDescent="0.35">
      <c r="A247" s="48">
        <v>245</v>
      </c>
      <c r="B247" s="59"/>
      <c r="C247" s="50">
        <f t="shared" si="8"/>
        <v>46022</v>
      </c>
      <c r="D247" s="44">
        <f t="shared" si="7"/>
        <v>0.50069444444444444</v>
      </c>
      <c r="E247" s="47"/>
      <c r="F247" s="64"/>
      <c r="G247" s="65"/>
      <c r="H247" s="12"/>
      <c r="I247" s="11"/>
    </row>
  </sheetData>
  <autoFilter ref="A2:I32">
    <sortState ref="A3:I32">
      <sortCondition ref="A3:A32"/>
    </sortState>
  </autoFilter>
  <mergeCells count="1">
    <mergeCell ref="A1:I1"/>
  </mergeCells>
  <conditionalFormatting sqref="E17:F17 E12:F12 E14:F14 G14:G17 D3:G4 D5:D247 G12:H13 E18:H247 D2:H2 I2:I247 E5:G11">
    <cfRule type="timePeriod" dxfId="92" priority="23" timePeriod="thisMonth">
      <formula>AND(MONTH(D2)=MONTH(TODAY()),YEAR(D2)=YEAR(TODAY()))</formula>
    </cfRule>
  </conditionalFormatting>
  <conditionalFormatting sqref="E13:F13">
    <cfRule type="timePeriod" dxfId="91" priority="21" timePeriod="thisMonth">
      <formula>AND(MONTH(E13)=MONTH(TODAY()),YEAR(E13)=YEAR(TODAY()))</formula>
    </cfRule>
  </conditionalFormatting>
  <conditionalFormatting sqref="E14:F18">
    <cfRule type="timePeriod" dxfId="90" priority="20" timePeriod="thisMonth">
      <formula>AND(MONTH(E14)=MONTH(TODAY()),YEAR(E14)=YEAR(TODAY()))</formula>
    </cfRule>
  </conditionalFormatting>
  <conditionalFormatting sqref="E15:F15">
    <cfRule type="timePeriod" dxfId="89" priority="12" timePeriod="thisMonth">
      <formula>AND(MONTH(E15)=MONTH(TODAY()),YEAR(E15)=YEAR(TODAY()))</formula>
    </cfRule>
  </conditionalFormatting>
  <conditionalFormatting sqref="C5:C6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{6CD34E0C-7CE3-48F4-B362-DACAF7DBF857}</x14:id>
        </ext>
      </extLst>
    </cfRule>
  </conditionalFormatting>
  <conditionalFormatting sqref="C12:C13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{ADB84884-3AEE-444E-A98B-B6AA52A02B94}</x14:id>
        </ext>
      </extLst>
    </cfRule>
  </conditionalFormatting>
  <conditionalFormatting sqref="C19:C20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{DECDF69B-790A-4725-9639-748D9B29B204}</x14:id>
        </ext>
      </extLst>
    </cfRule>
  </conditionalFormatting>
  <conditionalFormatting sqref="C26:C27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{15A24699-62F9-4D26-B137-88F9B3CB8581}</x14:id>
        </ext>
      </extLst>
    </cfRule>
  </conditionalFormatting>
  <conditionalFormatting sqref="H3:H247">
    <cfRule type="containsText" dxfId="88" priority="2" operator="containsText" text="Completed">
      <formula>NOT(ISERROR(SEARCH("Completed",H3)))</formula>
    </cfRule>
    <cfRule type="containsText" dxfId="87" priority="3" operator="containsText" text="Cancelled">
      <formula>NOT(ISERROR(SEARCH("Cancelled",H3)))</formula>
    </cfRule>
    <cfRule type="containsText" dxfId="86" priority="4" operator="containsText" text="Postponed">
      <formula>NOT(ISERROR(SEARCH("Postponed",H3)))</formula>
    </cfRule>
    <cfRule type="containsText" priority="5" operator="containsText" text="Scheduled">
      <formula>NOT(ISERROR(SEARCH("Scheduled",H3)))</formula>
    </cfRule>
    <cfRule type="containsText" dxfId="85" priority="6" operator="containsText" text="Scheduled">
      <formula>NOT(ISERROR(SEARCH("Scheduled",H3)))</formula>
    </cfRule>
    <cfRule type="containsText" dxfId="84" priority="7" operator="containsText" text="Scheduled">
      <formula>NOT(ISERROR(SEARCH("Scheduled",H3)))</formula>
    </cfRule>
  </conditionalFormatting>
  <conditionalFormatting sqref="H5:H247">
    <cfRule type="containsText" dxfId="83" priority="1" operator="containsText" text="Postponed">
      <formula>NOT(ISERROR(SEARCH("Postponed",H5)))</formula>
    </cfRule>
  </conditionalFormatting>
  <pageMargins left="0.7" right="0.7" top="0.75" bottom="0.75" header="0.3" footer="0.3"/>
  <pageSetup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D34E0C-7CE3-48F4-B362-DACAF7DBF8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C5:C6</xm:sqref>
        </x14:conditionalFormatting>
        <x14:conditionalFormatting xmlns:xm="http://schemas.microsoft.com/office/excel/2006/main">
          <x14:cfRule type="dataBar" id="{ADB84884-3AEE-444E-A98B-B6AA52A02B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C12:C13</xm:sqref>
        </x14:conditionalFormatting>
        <x14:conditionalFormatting xmlns:xm="http://schemas.microsoft.com/office/excel/2006/main">
          <x14:cfRule type="dataBar" id="{DECDF69B-790A-4725-9639-748D9B29B2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C19:C20</xm:sqref>
        </x14:conditionalFormatting>
        <x14:conditionalFormatting xmlns:xm="http://schemas.microsoft.com/office/excel/2006/main">
          <x14:cfRule type="dataBar" id="{15A24699-62F9-4D26-B137-88F9B3CB85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C26:C27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view="pageBreakPreview" zoomScale="86" zoomScaleNormal="100" zoomScaleSheetLayoutView="86" workbookViewId="0">
      <selection activeCell="L5" sqref="L5"/>
    </sheetView>
  </sheetViews>
  <sheetFormatPr defaultColWidth="9" defaultRowHeight="14.5" x14ac:dyDescent="0.35"/>
  <cols>
    <col min="1" max="1" width="11.7265625" style="51" bestFit="1" customWidth="1"/>
    <col min="2" max="2" width="6.26953125" style="51" customWidth="1"/>
    <col min="3" max="3" width="6.26953125" style="51" bestFit="1" customWidth="1"/>
    <col min="4" max="4" width="11.90625" style="51" bestFit="1" customWidth="1"/>
    <col min="5" max="5" width="6.26953125" style="51" bestFit="1" customWidth="1"/>
    <col min="6" max="6" width="14" style="51" customWidth="1"/>
    <col min="7" max="7" width="7.36328125" style="51" customWidth="1"/>
    <col min="8" max="8" width="6.7265625" style="51" customWidth="1"/>
    <col min="9" max="9" width="6.90625" style="51" customWidth="1"/>
    <col min="10" max="10" width="7.26953125" style="51" bestFit="1" customWidth="1"/>
    <col min="11" max="11" width="8" style="51" customWidth="1"/>
    <col min="12" max="12" width="1.26953125" style="51" customWidth="1"/>
    <col min="13" max="13" width="10.26953125" style="51" customWidth="1"/>
    <col min="14" max="14" width="6.26953125" style="51" bestFit="1" customWidth="1"/>
    <col min="15" max="15" width="6.6328125" style="51" bestFit="1" customWidth="1"/>
    <col min="16" max="16" width="8.6328125" style="51" customWidth="1"/>
    <col min="17" max="17" width="7.26953125" style="51" bestFit="1" customWidth="1"/>
    <col min="18" max="18" width="7.7265625" style="51" bestFit="1" customWidth="1"/>
    <col min="19" max="19" width="1.26953125" style="51" customWidth="1"/>
    <col min="20" max="20" width="10" style="51" customWidth="1"/>
    <col min="21" max="21" width="9.6328125" style="51" customWidth="1"/>
    <col min="22" max="22" width="9" style="51"/>
    <col min="23" max="23" width="9.453125" style="51" customWidth="1"/>
    <col min="24" max="24" width="11.7265625" style="51" customWidth="1"/>
    <col min="25" max="16384" width="9" style="51"/>
  </cols>
  <sheetData>
    <row r="1" spans="1:24" ht="27.75" customHeight="1" x14ac:dyDescent="0.35">
      <c r="A1" s="99" t="s">
        <v>113</v>
      </c>
      <c r="B1" s="99"/>
      <c r="C1" s="99"/>
      <c r="D1" s="99"/>
      <c r="E1" s="99"/>
      <c r="F1" s="99"/>
      <c r="G1" s="99"/>
      <c r="H1" s="99"/>
      <c r="I1" s="99"/>
      <c r="J1" s="99"/>
      <c r="K1" s="99"/>
      <c r="M1" s="100" t="s">
        <v>115</v>
      </c>
      <c r="N1" s="100"/>
      <c r="O1" s="100"/>
      <c r="P1" s="100"/>
      <c r="Q1" s="100"/>
      <c r="R1" s="100"/>
      <c r="T1" s="101" t="s">
        <v>114</v>
      </c>
      <c r="U1" s="102"/>
      <c r="V1" s="102"/>
      <c r="W1" s="102"/>
      <c r="X1" s="102"/>
    </row>
    <row r="2" spans="1:24" ht="60" customHeight="1" x14ac:dyDescent="0.35">
      <c r="A2" s="56" t="s">
        <v>14</v>
      </c>
      <c r="B2" s="75" t="s">
        <v>36</v>
      </c>
      <c r="C2" s="75" t="s">
        <v>37</v>
      </c>
      <c r="D2" s="75" t="s">
        <v>38</v>
      </c>
      <c r="E2" s="75" t="s">
        <v>28</v>
      </c>
      <c r="F2" s="75" t="s">
        <v>100</v>
      </c>
      <c r="G2" s="75" t="s">
        <v>98</v>
      </c>
      <c r="H2" s="75" t="s">
        <v>99</v>
      </c>
      <c r="I2" s="75" t="s">
        <v>97</v>
      </c>
      <c r="J2" s="75" t="s">
        <v>26</v>
      </c>
      <c r="K2" s="75" t="s">
        <v>27</v>
      </c>
      <c r="M2" s="56" t="s">
        <v>14</v>
      </c>
      <c r="N2" s="75" t="s">
        <v>101</v>
      </c>
      <c r="O2" s="75" t="s">
        <v>102</v>
      </c>
      <c r="P2" s="75" t="s">
        <v>103</v>
      </c>
      <c r="Q2" s="75" t="s">
        <v>26</v>
      </c>
      <c r="R2" s="75" t="s">
        <v>104</v>
      </c>
      <c r="T2" s="52" t="s">
        <v>14</v>
      </c>
      <c r="U2" s="52" t="s">
        <v>106</v>
      </c>
      <c r="V2" s="52" t="s">
        <v>107</v>
      </c>
      <c r="W2" s="52" t="s">
        <v>108</v>
      </c>
      <c r="X2" s="52" t="s">
        <v>109</v>
      </c>
    </row>
    <row r="3" spans="1:24" x14ac:dyDescent="0.35">
      <c r="A3" s="88">
        <v>12</v>
      </c>
      <c r="B3" s="72">
        <v>2</v>
      </c>
      <c r="C3" s="72">
        <v>5</v>
      </c>
      <c r="D3" s="72">
        <v>5</v>
      </c>
      <c r="E3" s="72">
        <v>5</v>
      </c>
      <c r="F3" s="73">
        <v>2.7777777777777777</v>
      </c>
      <c r="G3" s="72">
        <v>2</v>
      </c>
      <c r="H3" s="72">
        <v>4</v>
      </c>
      <c r="I3" s="72">
        <v>6</v>
      </c>
      <c r="J3" s="72">
        <v>3</v>
      </c>
      <c r="K3" s="72">
        <v>4</v>
      </c>
      <c r="L3" s="52"/>
      <c r="M3" s="52" t="s">
        <v>15</v>
      </c>
      <c r="N3" s="53"/>
      <c r="O3" s="53"/>
      <c r="P3" s="53"/>
      <c r="Q3" s="53"/>
      <c r="R3" s="53"/>
      <c r="T3" s="52">
        <v>5</v>
      </c>
      <c r="U3" s="53">
        <v>2</v>
      </c>
      <c r="V3" s="53">
        <v>1</v>
      </c>
      <c r="W3" s="53">
        <v>1</v>
      </c>
      <c r="X3" s="53">
        <v>1</v>
      </c>
    </row>
    <row r="4" spans="1:24" x14ac:dyDescent="0.35">
      <c r="A4" s="55" t="s">
        <v>16</v>
      </c>
      <c r="B4" s="53">
        <v>2</v>
      </c>
      <c r="C4" s="53">
        <v>5</v>
      </c>
      <c r="D4" s="53">
        <v>5</v>
      </c>
      <c r="E4" s="53">
        <v>5</v>
      </c>
      <c r="F4" s="67">
        <v>2.7777777777777777</v>
      </c>
      <c r="G4" s="53">
        <v>2</v>
      </c>
      <c r="H4" s="53">
        <v>4</v>
      </c>
      <c r="I4" s="53">
        <v>6</v>
      </c>
      <c r="J4" s="53">
        <v>3</v>
      </c>
      <c r="K4" s="53">
        <v>4</v>
      </c>
      <c r="L4" s="52"/>
      <c r="M4" s="52">
        <v>5</v>
      </c>
      <c r="N4" s="53">
        <v>1</v>
      </c>
      <c r="O4" s="53">
        <v>1</v>
      </c>
      <c r="P4" s="53">
        <v>1</v>
      </c>
      <c r="Q4" s="53">
        <v>1</v>
      </c>
      <c r="R4" s="53">
        <v>1</v>
      </c>
      <c r="T4" s="52" t="s">
        <v>15</v>
      </c>
      <c r="U4" s="53"/>
      <c r="V4" s="53"/>
      <c r="W4" s="53"/>
      <c r="X4" s="53"/>
    </row>
    <row r="5" spans="1:24" ht="29" x14ac:dyDescent="0.35">
      <c r="L5" s="52"/>
      <c r="M5" s="52" t="s">
        <v>16</v>
      </c>
      <c r="N5" s="53">
        <v>1</v>
      </c>
      <c r="O5" s="53">
        <v>1</v>
      </c>
      <c r="P5" s="53">
        <v>1</v>
      </c>
      <c r="Q5" s="53">
        <v>1</v>
      </c>
      <c r="R5" s="53">
        <v>1</v>
      </c>
      <c r="T5" s="52" t="s">
        <v>16</v>
      </c>
      <c r="U5" s="53">
        <v>2</v>
      </c>
      <c r="V5" s="53">
        <v>1</v>
      </c>
      <c r="W5" s="53">
        <v>1</v>
      </c>
      <c r="X5" s="53">
        <v>1</v>
      </c>
    </row>
  </sheetData>
  <mergeCells count="3">
    <mergeCell ref="A1:K1"/>
    <mergeCell ref="M1:R1"/>
    <mergeCell ref="T1:X1"/>
  </mergeCells>
  <pageMargins left="0.7" right="0.7" top="0.75" bottom="0.75" header="0.3" footer="0.3"/>
  <pageSetup orientation="landscape" r:id="rId4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A14"/>
  <sheetViews>
    <sheetView tabSelected="1" view="pageBreakPreview" zoomScale="80" zoomScaleNormal="80" zoomScaleSheetLayoutView="80" workbookViewId="0">
      <selection activeCell="A3" sqref="A3:K3"/>
    </sheetView>
  </sheetViews>
  <sheetFormatPr defaultColWidth="9" defaultRowHeight="15.5" x14ac:dyDescent="0.35"/>
  <cols>
    <col min="1" max="1" width="28" style="1" customWidth="1"/>
    <col min="2" max="2" width="7.7265625" style="1" customWidth="1"/>
    <col min="3" max="3" width="8.36328125" style="1" customWidth="1"/>
    <col min="4" max="4" width="11.90625" style="1" customWidth="1"/>
    <col min="5" max="5" width="9.36328125" style="1" customWidth="1"/>
    <col min="6" max="6" width="10.6328125" style="1" customWidth="1"/>
    <col min="7" max="7" width="16.7265625" style="1" customWidth="1"/>
    <col min="8" max="8" width="14.36328125" style="1" customWidth="1"/>
    <col min="9" max="9" width="12.26953125" style="1" customWidth="1"/>
    <col min="10" max="10" width="12.08984375" style="1" customWidth="1"/>
    <col min="11" max="11" width="12" style="1" customWidth="1"/>
    <col min="12" max="12" width="9" style="1"/>
    <col min="13" max="13" width="19.6328125" style="1" customWidth="1"/>
    <col min="14" max="14" width="17.453125" style="1" customWidth="1"/>
    <col min="15" max="15" width="14.453125" style="1" customWidth="1"/>
    <col min="16" max="16" width="12.36328125" style="1" bestFit="1" customWidth="1"/>
    <col min="17" max="17" width="14.6328125" style="1" customWidth="1"/>
    <col min="18" max="18" width="14" style="1" customWidth="1"/>
    <col min="19" max="19" width="12.453125" style="1" customWidth="1"/>
    <col min="20" max="20" width="4.26953125" style="1" customWidth="1"/>
    <col min="21" max="21" width="9" style="1"/>
    <col min="22" max="22" width="0.6328125" style="1" customWidth="1"/>
    <col min="23" max="23" width="9" style="1" hidden="1" customWidth="1"/>
    <col min="24" max="24" width="22.08984375" style="1" customWidth="1"/>
    <col min="25" max="25" width="22" style="1" customWidth="1"/>
    <col min="26" max="26" width="16.36328125" style="1" customWidth="1"/>
    <col min="27" max="27" width="17.7265625" style="1" customWidth="1"/>
    <col min="28" max="16384" width="9" style="1"/>
  </cols>
  <sheetData>
    <row r="1" spans="1:27" ht="88.5" customHeight="1" x14ac:dyDescent="0.35">
      <c r="A1" s="119" t="s">
        <v>24</v>
      </c>
      <c r="B1" s="119"/>
      <c r="C1" s="119"/>
      <c r="D1" s="119"/>
      <c r="E1" s="120"/>
      <c r="F1" s="120"/>
      <c r="G1" s="120"/>
      <c r="H1" s="120"/>
      <c r="I1" s="120"/>
      <c r="J1" s="120"/>
      <c r="K1" s="120"/>
    </row>
    <row r="2" spans="1:27" ht="18" x14ac:dyDescent="0.35">
      <c r="A2" s="121" t="s">
        <v>25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</row>
    <row r="3" spans="1:27" ht="49.5" customHeight="1" x14ac:dyDescent="0.4">
      <c r="A3" s="124"/>
      <c r="B3" s="124"/>
      <c r="C3" s="124"/>
      <c r="D3" s="124"/>
      <c r="E3" s="124"/>
      <c r="F3" s="124"/>
      <c r="G3" s="124"/>
      <c r="H3" s="124"/>
      <c r="I3" s="124"/>
      <c r="J3" s="124"/>
      <c r="K3" s="124"/>
      <c r="Y3" s="103" t="s">
        <v>110</v>
      </c>
      <c r="Z3" s="103"/>
      <c r="AA3" s="103"/>
    </row>
    <row r="4" spans="1:27" ht="54" customHeight="1" x14ac:dyDescent="0.35">
      <c r="A4" s="122" t="s">
        <v>120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P4" s="56" t="s">
        <v>14</v>
      </c>
      <c r="Q4" s="52" t="s">
        <v>111</v>
      </c>
      <c r="R4" s="52" t="s">
        <v>105</v>
      </c>
      <c r="S4" s="52" t="s">
        <v>112</v>
      </c>
      <c r="X4" s="1" t="s">
        <v>110</v>
      </c>
      <c r="Y4" s="5" t="s">
        <v>73</v>
      </c>
      <c r="Z4" s="70" t="s">
        <v>72</v>
      </c>
      <c r="AA4" s="71" t="s">
        <v>77</v>
      </c>
    </row>
    <row r="5" spans="1:27" ht="27" customHeight="1" x14ac:dyDescent="0.4">
      <c r="A5" s="106" t="s">
        <v>122</v>
      </c>
      <c r="B5" s="106"/>
      <c r="C5" s="106"/>
      <c r="D5" s="106"/>
      <c r="E5" s="106"/>
      <c r="F5" s="106"/>
      <c r="G5" s="106"/>
      <c r="H5" s="106"/>
      <c r="I5" s="106"/>
      <c r="J5" s="106"/>
      <c r="K5" s="106"/>
      <c r="P5" s="68">
        <v>3</v>
      </c>
      <c r="Q5" s="69">
        <v>12</v>
      </c>
      <c r="R5" s="69">
        <v>5</v>
      </c>
      <c r="S5" s="69">
        <v>5</v>
      </c>
      <c r="X5" s="54">
        <v>3</v>
      </c>
      <c r="Y5" s="39">
        <f>SUM(A7)</f>
        <v>12</v>
      </c>
      <c r="Z5" s="66">
        <f>SUM(A13)</f>
        <v>5</v>
      </c>
      <c r="AA5" s="6">
        <f>SUM(G13)</f>
        <v>5</v>
      </c>
    </row>
    <row r="6" spans="1:27" ht="51" customHeight="1" x14ac:dyDescent="0.35">
      <c r="A6" s="94" t="s">
        <v>73</v>
      </c>
      <c r="B6" s="95" t="s">
        <v>34</v>
      </c>
      <c r="C6" s="95" t="s">
        <v>32</v>
      </c>
      <c r="D6" s="95" t="s">
        <v>35</v>
      </c>
      <c r="E6" s="95" t="s">
        <v>61</v>
      </c>
      <c r="F6" s="95" t="s">
        <v>62</v>
      </c>
      <c r="G6" s="95" t="s">
        <v>63</v>
      </c>
      <c r="H6" s="95" t="s">
        <v>39</v>
      </c>
      <c r="I6" s="95" t="s">
        <v>13</v>
      </c>
      <c r="J6" s="95" t="s">
        <v>23</v>
      </c>
      <c r="K6" s="95" t="s">
        <v>21</v>
      </c>
      <c r="P6" s="68" t="s">
        <v>16</v>
      </c>
      <c r="Q6" s="74">
        <v>12</v>
      </c>
      <c r="R6" s="69">
        <v>5</v>
      </c>
      <c r="S6" s="69">
        <v>5</v>
      </c>
    </row>
    <row r="7" spans="1:27" ht="19.5" customHeight="1" x14ac:dyDescent="0.35">
      <c r="A7" s="78">
        <f>COUNTA(Correspondences!C3:C247)</f>
        <v>12</v>
      </c>
      <c r="B7" s="79">
        <f>COUNTIF(Correspondences!C3:C247, "Email")</f>
        <v>2</v>
      </c>
      <c r="C7" s="80">
        <f>COUNTIF(Correspondences!C3:C247, "Phone")</f>
        <v>5</v>
      </c>
      <c r="D7" s="81">
        <f>COUNTIF(Correspondences!C3:C247, "Letter")</f>
        <v>5</v>
      </c>
      <c r="E7" s="82">
        <f>COUNTIF(Correspondences!H3:H247, "High")</f>
        <v>6</v>
      </c>
      <c r="F7" s="79">
        <f>COUNTIF(Correspondences!H3:H247, "Medium")</f>
        <v>2</v>
      </c>
      <c r="G7" s="77">
        <f>COUNTIF(Correspondences!H3:H247, "Low")</f>
        <v>4</v>
      </c>
      <c r="H7" s="83">
        <f>AVERAGE(Correspondences!L3:L247)</f>
        <v>2.7777777777777777</v>
      </c>
      <c r="I7" s="84">
        <f>COUNTIF(Correspondences!J3:J247, "Pending")</f>
        <v>3</v>
      </c>
      <c r="J7" s="85">
        <f>COUNTIF(Correspondences!J3:J247, "In Progress ")</f>
        <v>4</v>
      </c>
      <c r="K7" s="86">
        <f>COUNTIF(Correspondences!J3:J247, "Closed")</f>
        <v>5</v>
      </c>
    </row>
    <row r="10" spans="1:27" ht="25.5" customHeight="1" x14ac:dyDescent="0.35">
      <c r="A10" s="123" t="s">
        <v>123</v>
      </c>
      <c r="B10" s="123"/>
      <c r="C10" s="123"/>
      <c r="D10" s="123"/>
      <c r="E10" s="123"/>
      <c r="F10" s="76"/>
      <c r="G10" s="107" t="s">
        <v>124</v>
      </c>
      <c r="H10" s="107"/>
      <c r="I10" s="107"/>
      <c r="J10" s="107"/>
      <c r="K10" s="107"/>
    </row>
    <row r="11" spans="1:27" ht="5.25" customHeight="1" x14ac:dyDescent="0.35">
      <c r="A11" s="117" t="s">
        <v>72</v>
      </c>
      <c r="B11" s="109" t="s">
        <v>65</v>
      </c>
      <c r="C11" s="109" t="s">
        <v>66</v>
      </c>
      <c r="D11" s="109" t="s">
        <v>74</v>
      </c>
      <c r="E11" s="109" t="s">
        <v>13</v>
      </c>
      <c r="F11" s="109" t="s">
        <v>75</v>
      </c>
      <c r="G11" s="113" t="s">
        <v>77</v>
      </c>
      <c r="H11" s="111" t="s">
        <v>64</v>
      </c>
      <c r="I11" s="115" t="s">
        <v>68</v>
      </c>
      <c r="J11" s="115" t="s">
        <v>78</v>
      </c>
      <c r="K11" s="104" t="s">
        <v>79</v>
      </c>
    </row>
    <row r="12" spans="1:27" ht="32.25" customHeight="1" x14ac:dyDescent="0.35">
      <c r="A12" s="118"/>
      <c r="B12" s="110"/>
      <c r="C12" s="110"/>
      <c r="D12" s="110"/>
      <c r="E12" s="110"/>
      <c r="F12" s="110"/>
      <c r="G12" s="114"/>
      <c r="H12" s="112"/>
      <c r="I12" s="116"/>
      <c r="J12" s="116"/>
      <c r="K12" s="105"/>
    </row>
    <row r="13" spans="1:27" ht="21.75" customHeight="1" x14ac:dyDescent="0.35">
      <c r="A13" s="86">
        <f>COUNTA('Documents Management'!B3:B247)</f>
        <v>5</v>
      </c>
      <c r="B13" s="89">
        <f>COUNTIF('Documents Management'!G3:G247, "Draft")</f>
        <v>1</v>
      </c>
      <c r="C13" s="89">
        <f>COUNTIF('Documents Management'!G3:G247, "Review")</f>
        <v>1</v>
      </c>
      <c r="D13" s="89">
        <f>COUNTIF('Documents Management'!G3:G247, "Approved")</f>
        <v>1</v>
      </c>
      <c r="E13" s="89">
        <f>COUNTIF('Documents Management'!G3:G247, "Pending")</f>
        <v>1</v>
      </c>
      <c r="F13" s="89">
        <f>COUNTIF('Documents Management'!G3:G247, "Archived")</f>
        <v>1</v>
      </c>
      <c r="G13" s="90">
        <f>COUNTA('Meetings &amp; Coordination'!B3:B247)</f>
        <v>5</v>
      </c>
      <c r="H13" s="39">
        <f>COUNTIF('Meetings &amp; Coordination'!H3:H247, "Completed")</f>
        <v>2</v>
      </c>
      <c r="I13" s="91">
        <f>COUNTIF('Meetings &amp; Coordination'!H3:H247, "Scheduled")</f>
        <v>1</v>
      </c>
      <c r="J13" s="77">
        <f>COUNTIF('Meetings &amp; Coordination'!H3:H247, "Postponed")</f>
        <v>1</v>
      </c>
      <c r="K13" s="92">
        <f>COUNTIF('Meetings &amp; Coordination'!H3:H247, "Cancelled")</f>
        <v>1</v>
      </c>
    </row>
    <row r="14" spans="1:27" ht="33" customHeight="1" x14ac:dyDescent="0.35">
      <c r="A14" s="108"/>
      <c r="B14" s="108"/>
      <c r="C14" s="108"/>
      <c r="D14" s="108"/>
      <c r="E14" s="108"/>
      <c r="H14" s="108"/>
      <c r="I14" s="108"/>
      <c r="J14" s="108"/>
      <c r="K14" s="108"/>
    </row>
  </sheetData>
  <mergeCells count="21">
    <mergeCell ref="A1:K1"/>
    <mergeCell ref="A2:K2"/>
    <mergeCell ref="A4:K4"/>
    <mergeCell ref="A10:E10"/>
    <mergeCell ref="A3:K3"/>
    <mergeCell ref="Y3:AA3"/>
    <mergeCell ref="K11:K12"/>
    <mergeCell ref="A5:K5"/>
    <mergeCell ref="G10:K10"/>
    <mergeCell ref="A14:E14"/>
    <mergeCell ref="H14:K14"/>
    <mergeCell ref="B11:B12"/>
    <mergeCell ref="C11:C12"/>
    <mergeCell ref="D11:D12"/>
    <mergeCell ref="E11:E12"/>
    <mergeCell ref="F11:F12"/>
    <mergeCell ref="H11:H12"/>
    <mergeCell ref="G11:G12"/>
    <mergeCell ref="I11:I12"/>
    <mergeCell ref="J11:J12"/>
    <mergeCell ref="A11:A12"/>
  </mergeCells>
  <pageMargins left="0.7" right="0.7" top="0.75" bottom="0.75" header="0.3" footer="0.3"/>
  <pageSetup orientation="landscape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6"/>
  <sheetViews>
    <sheetView workbookViewId="0">
      <selection activeCell="G11" sqref="G11"/>
    </sheetView>
  </sheetViews>
  <sheetFormatPr defaultRowHeight="14.5" x14ac:dyDescent="0.35"/>
  <cols>
    <col min="1" max="1" width="11.453125" bestFit="1" customWidth="1"/>
    <col min="2" max="2" width="10.453125" bestFit="1" customWidth="1"/>
    <col min="3" max="3" width="12.36328125" bestFit="1" customWidth="1"/>
    <col min="4" max="4" width="14.36328125" bestFit="1" customWidth="1"/>
    <col min="5" max="5" width="13.08984375" bestFit="1" customWidth="1"/>
    <col min="6" max="6" width="13.6328125" bestFit="1" customWidth="1"/>
  </cols>
  <sheetData>
    <row r="3" spans="1:6" x14ac:dyDescent="0.35">
      <c r="A3" s="2" t="s">
        <v>14</v>
      </c>
      <c r="B3" t="s">
        <v>101</v>
      </c>
      <c r="C3" t="s">
        <v>102</v>
      </c>
      <c r="D3" t="s">
        <v>103</v>
      </c>
      <c r="E3" t="s">
        <v>26</v>
      </c>
      <c r="F3" t="s">
        <v>104</v>
      </c>
    </row>
    <row r="4" spans="1:6" x14ac:dyDescent="0.35">
      <c r="A4" s="3" t="s">
        <v>15</v>
      </c>
      <c r="B4" s="4"/>
      <c r="C4" s="4"/>
      <c r="D4" s="4"/>
      <c r="E4" s="4"/>
      <c r="F4" s="4"/>
    </row>
    <row r="5" spans="1:6" x14ac:dyDescent="0.35">
      <c r="A5" s="3">
        <v>5</v>
      </c>
      <c r="B5" s="4">
        <v>1</v>
      </c>
      <c r="C5" s="4">
        <v>1</v>
      </c>
      <c r="D5" s="4">
        <v>1</v>
      </c>
      <c r="E5" s="4">
        <v>1</v>
      </c>
      <c r="F5" s="4">
        <v>1</v>
      </c>
    </row>
    <row r="6" spans="1:6" x14ac:dyDescent="0.35">
      <c r="A6" s="3" t="s">
        <v>16</v>
      </c>
      <c r="B6" s="4">
        <v>1</v>
      </c>
      <c r="C6" s="4">
        <v>1</v>
      </c>
      <c r="D6" s="4">
        <v>1</v>
      </c>
      <c r="E6" s="4">
        <v>1</v>
      </c>
      <c r="F6" s="4"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6"/>
  <sheetViews>
    <sheetView workbookViewId="0">
      <selection activeCell="A3" sqref="A3:E6"/>
    </sheetView>
  </sheetViews>
  <sheetFormatPr defaultRowHeight="14.5" x14ac:dyDescent="0.35"/>
  <cols>
    <col min="1" max="1" width="11.453125" bestFit="1" customWidth="1"/>
    <col min="2" max="2" width="10.7265625" customWidth="1"/>
    <col min="3" max="3" width="10" customWidth="1"/>
    <col min="4" max="4" width="9.453125" customWidth="1"/>
    <col min="5" max="5" width="9.6328125" customWidth="1"/>
  </cols>
  <sheetData>
    <row r="3" spans="1:5" ht="29.25" customHeight="1" x14ac:dyDescent="0.35">
      <c r="A3" s="56" t="s">
        <v>14</v>
      </c>
      <c r="B3" s="52" t="s">
        <v>106</v>
      </c>
      <c r="C3" s="52" t="s">
        <v>107</v>
      </c>
      <c r="D3" s="52" t="s">
        <v>108</v>
      </c>
      <c r="E3" s="52" t="s">
        <v>109</v>
      </c>
    </row>
    <row r="4" spans="1:5" x14ac:dyDescent="0.35">
      <c r="A4" s="52">
        <v>5</v>
      </c>
      <c r="B4" s="53">
        <v>2</v>
      </c>
      <c r="C4" s="53">
        <v>1</v>
      </c>
      <c r="D4" s="53">
        <v>1</v>
      </c>
      <c r="E4" s="53">
        <v>1</v>
      </c>
    </row>
    <row r="5" spans="1:5" x14ac:dyDescent="0.35">
      <c r="A5" s="52" t="s">
        <v>15</v>
      </c>
      <c r="B5" s="53"/>
      <c r="C5" s="53"/>
      <c r="D5" s="53"/>
      <c r="E5" s="53"/>
    </row>
    <row r="6" spans="1:5" x14ac:dyDescent="0.35">
      <c r="A6" s="52" t="s">
        <v>16</v>
      </c>
      <c r="B6" s="53">
        <v>2</v>
      </c>
      <c r="C6" s="53">
        <v>1</v>
      </c>
      <c r="D6" s="53">
        <v>1</v>
      </c>
      <c r="E6" s="53">
        <v>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Correspondences</vt:lpstr>
      <vt:lpstr>Documents Management</vt:lpstr>
      <vt:lpstr>Meetings &amp; Coordination</vt:lpstr>
      <vt:lpstr>Statistics</vt:lpstr>
      <vt:lpstr>Dashboard</vt:lpstr>
      <vt:lpstr>Docs Statistics</vt:lpstr>
      <vt:lpstr>Sheet13</vt:lpstr>
      <vt:lpstr>Dashboard!Print_Area</vt:lpstr>
      <vt:lpstr>Statistics!Print_Area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-FLEXX-</dc:creator>
  <cp:lastModifiedBy>HP</cp:lastModifiedBy>
  <dcterms:created xsi:type="dcterms:W3CDTF">2025-05-28T06:08:58Z</dcterms:created>
  <dcterms:modified xsi:type="dcterms:W3CDTF">2025-12-03T10:54:23Z</dcterms:modified>
</cp:coreProperties>
</file>